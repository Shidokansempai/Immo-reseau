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ght card" sheetId="1" state="visible" r:id="rId3"/>
    <sheet name="Programme" sheetId="2" state="visible" r:id="rId4"/>
    <sheet name="Combattants" sheetId="3" state="visible" r:id="rId5"/>
    <sheet name="Clubs" sheetId="4" state="visible" r:id="rId6"/>
  </sheets>
  <definedNames>
    <definedName function="false" hidden="true" localSheetId="2" name="_xlnm._FilterDatabase" vbProcedure="false">Combattants!$A$1:$M$51</definedName>
    <definedName function="false" hidden="false" localSheetId="0" name="_xlnm.Print_Titles" vbProcedure="false">'Fight card'!$5:$5</definedName>
    <definedName function="false" hidden="true" localSheetId="0" name="_xlnm._FilterDatabase" vbProcedure="false">'Fight card'!$A$5:$R$33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Formule Prénom + NOM. C'est ce nom qu'on choisit dans la Fight card.</t>
        </r>
      </text>
    </comment>
    <comment ref="L1" authorId="0">
      <text>
        <r>
          <rPr>
            <sz val="10"/>
            <rFont val="Arial"/>
            <family val="2"/>
          </rPr>
          <t xml:space="preserve">Calculé depuis l'onglet Fight card. En rouge : combattant sans aucun combat.</t>
        </r>
      </text>
    </comment>
  </commentList>
</comments>
</file>

<file path=xl/sharedStrings.xml><?xml version="1.0" encoding="utf-8"?>
<sst xmlns="http://schemas.openxmlformats.org/spreadsheetml/2006/main" count="630" uniqueCount="282">
  <si>
    <t xml:space="preserve">SHIDOKAN CHALLENGE 974 — ORDRE DES COMBATS</t>
  </si>
  <si>
    <t xml:space="preserve">Combats</t>
  </si>
  <si>
    <t xml:space="preserve">Dimanche 25 octobre 2026 · Gymnase du 12ème km, Le Tampon · 8h30 – 15h · 2 aires</t>
  </si>
  <si>
    <t xml:space="preserve">Terminés</t>
  </si>
  <si>
    <t xml:space="preserve">Cases jaunes = à modifier (listes déroulantes pour aire, combattants, statut, vainqueur, méthode). Colonnes blanches = calculées automatiquement. Ajoutez des combats en bas du tableau.</t>
  </si>
  <si>
    <t xml:space="preserve">Restants</t>
  </si>
  <si>
    <t xml:space="preserve">N°</t>
  </si>
  <si>
    <t xml:space="preserve">Heure</t>
  </si>
  <si>
    <t xml:space="preserve">Aire</t>
  </si>
  <si>
    <t xml:space="preserve">Partie</t>
  </si>
  <si>
    <t xml:space="preserve">Catégorie</t>
  </si>
  <si>
    <t xml:space="preserve">Phase</t>
  </si>
  <si>
    <t xml:space="preserve">Discipline</t>
  </si>
  <si>
    <t xml:space="preserve">Format</t>
  </si>
  <si>
    <t xml:space="preserve">🔴 Coin rouge (Aka)</t>
  </si>
  <si>
    <t xml:space="preserve">Club</t>
  </si>
  <si>
    <t xml:space="preserve">🔵 Coin bleu (Ao)</t>
  </si>
  <si>
    <t xml:space="preserve">Statut</t>
  </si>
  <si>
    <t xml:space="preserve">Vainqueur (coin)</t>
  </si>
  <si>
    <t xml:space="preserve">Vainqueur (nom)</t>
  </si>
  <si>
    <t xml:space="preserve">Méthode</t>
  </si>
  <si>
    <t xml:space="preserve">Reprise</t>
  </si>
  <si>
    <t xml:space="preserve">Notes</t>
  </si>
  <si>
    <t xml:space="preserve">09h20</t>
  </si>
  <si>
    <t xml:space="preserve">Matin · Enfants</t>
  </si>
  <si>
    <t xml:space="preserve">Filles 23-24 kg</t>
  </si>
  <si>
    <t xml:space="preserve">Combat unique</t>
  </si>
  <si>
    <t xml:space="preserve">Karaté Shidokan</t>
  </si>
  <si>
    <t xml:space="preserve">1 min 30</t>
  </si>
  <si>
    <t xml:space="preserve">Kiria BOYER</t>
  </si>
  <si>
    <t xml:space="preserve">Camilya BACAR</t>
  </si>
  <si>
    <t xml:space="preserve">Prévu</t>
  </si>
  <si>
    <t xml:space="preserve">Filles 27-30 kg</t>
  </si>
  <si>
    <t xml:space="preserve">Inès ICHARD</t>
  </si>
  <si>
    <t xml:space="preserve">Lucie PAYET</t>
  </si>
  <si>
    <t xml:space="preserve">09h24</t>
  </si>
  <si>
    <t xml:space="preserve">Filles 34-35 kg</t>
  </si>
  <si>
    <t xml:space="preserve">Elie-Rose THOMAS</t>
  </si>
  <si>
    <t xml:space="preserve">Lily BEGUE</t>
  </si>
  <si>
    <t xml:space="preserve">Filles minimes 55 kg</t>
  </si>
  <si>
    <t xml:space="preserve">EVE RIVIERE</t>
  </si>
  <si>
    <t xml:space="preserve">HELENA PAYET</t>
  </si>
  <si>
    <t xml:space="preserve">09h28</t>
  </si>
  <si>
    <t xml:space="preserve">Cadette 50 kg (boxing)</t>
  </si>
  <si>
    <t xml:space="preserve">Exhibition</t>
  </si>
  <si>
    <t xml:space="preserve">Shidoboxing</t>
  </si>
  <si>
    <t xml:space="preserve">Chloé FONTAINE</t>
  </si>
  <si>
    <t xml:space="preserve">Adversaire à définir</t>
  </si>
  <si>
    <t xml:space="preserve">Cadette 64 kg</t>
  </si>
  <si>
    <t xml:space="preserve">Lanah BARDINOT</t>
  </si>
  <si>
    <t xml:space="preserve">09h32</t>
  </si>
  <si>
    <t xml:space="preserve">Filles 35-38 kg</t>
  </si>
  <si>
    <t xml:space="preserve">Melina FOLIO</t>
  </si>
  <si>
    <t xml:space="preserve">Garçons 23-24 kg</t>
  </si>
  <si>
    <t xml:space="preserve">Logan PROST</t>
  </si>
  <si>
    <t xml:space="preserve">Raphaël FRAYNAL</t>
  </si>
  <si>
    <t xml:space="preserve">09h36</t>
  </si>
  <si>
    <t xml:space="preserve">Garçons 34-35 kg</t>
  </si>
  <si>
    <t xml:space="preserve">Antoine RIVIERE</t>
  </si>
  <si>
    <t xml:space="preserve">Basile ABEL</t>
  </si>
  <si>
    <t xml:space="preserve">Garçons 35 kg</t>
  </si>
  <si>
    <t xml:space="preserve">HUGO GRONDIN</t>
  </si>
  <si>
    <t xml:space="preserve">Nathan BABEF</t>
  </si>
  <si>
    <t xml:space="preserve">09h40</t>
  </si>
  <si>
    <t xml:space="preserve">Lorentz PAYET</t>
  </si>
  <si>
    <t xml:space="preserve">Mahé PASQUET</t>
  </si>
  <si>
    <t xml:space="preserve">Garçons 36,5-37 kg</t>
  </si>
  <si>
    <t xml:space="preserve">NOA ZAMBERNARDI</t>
  </si>
  <si>
    <t xml:space="preserve">AXEL DUHOU</t>
  </si>
  <si>
    <t xml:space="preserve">09h44</t>
  </si>
  <si>
    <t xml:space="preserve">EDEN BOYER</t>
  </si>
  <si>
    <t xml:space="preserve">Garçons 38-40 kg</t>
  </si>
  <si>
    <t xml:space="preserve">Liam PROST</t>
  </si>
  <si>
    <t xml:space="preserve">DOMNOE COUILLAUD</t>
  </si>
  <si>
    <t xml:space="preserve">09h48</t>
  </si>
  <si>
    <t xml:space="preserve">Garçons 40-41,5 kg</t>
  </si>
  <si>
    <t xml:space="preserve">YVAN BOYER</t>
  </si>
  <si>
    <t xml:space="preserve">Benjamin LEGRAND</t>
  </si>
  <si>
    <t xml:space="preserve">Minimes garçons 55-56 kg</t>
  </si>
  <si>
    <t xml:space="preserve">Keo ZAMBERNARDI</t>
  </si>
  <si>
    <t xml:space="preserve">NATHAN RIVIERE</t>
  </si>
  <si>
    <t xml:space="preserve">09h52</t>
  </si>
  <si>
    <t xml:space="preserve">Minimes garçons 57-60 kg</t>
  </si>
  <si>
    <t xml:space="preserve">Pierre RODRIGUE</t>
  </si>
  <si>
    <t xml:space="preserve">ROBIN TURPIN</t>
  </si>
  <si>
    <t xml:space="preserve">Minimes garçons 62-65 kg</t>
  </si>
  <si>
    <t xml:space="preserve">Bilal SALIMA</t>
  </si>
  <si>
    <t xml:space="preserve">Matys LABRUYERE</t>
  </si>
  <si>
    <t xml:space="preserve">09h56</t>
  </si>
  <si>
    <t xml:space="preserve">Cadet / Junior ~75 kg</t>
  </si>
  <si>
    <t xml:space="preserve">GILLES IDMOND</t>
  </si>
  <si>
    <t xml:space="preserve">Ethan ICAZE</t>
  </si>
  <si>
    <t xml:space="preserve">13h15</t>
  </si>
  <si>
    <t xml:space="preserve">Après-midi · Adultes</t>
  </si>
  <si>
    <t xml:space="preserve">Seniors femmes 55-59 kg</t>
  </si>
  <si>
    <t xml:space="preserve">2 min</t>
  </si>
  <si>
    <t xml:space="preserve">Emmanuelle GRUCHET</t>
  </si>
  <si>
    <t xml:space="preserve">Ambre BEAUVOIR</t>
  </si>
  <si>
    <t xml:space="preserve">MMA -70 kg</t>
  </si>
  <si>
    <t xml:space="preserve">Shido-MMA</t>
  </si>
  <si>
    <t xml:space="preserve">Jean-Marc SERGE</t>
  </si>
  <si>
    <t xml:space="preserve">Mathéo GABRIEL</t>
  </si>
  <si>
    <t xml:space="preserve">13h20</t>
  </si>
  <si>
    <t xml:space="preserve">Shidoboxing 59-60 kg</t>
  </si>
  <si>
    <t xml:space="preserve">Mike MIKE</t>
  </si>
  <si>
    <t xml:space="preserve">THEO FONTAINE</t>
  </si>
  <si>
    <t xml:space="preserve">Seniors H 78-84 kg</t>
  </si>
  <si>
    <t xml:space="preserve">Sébastien ELIE</t>
  </si>
  <si>
    <t xml:space="preserve">Thomas GUICHARD</t>
  </si>
  <si>
    <t xml:space="preserve">13h25</t>
  </si>
  <si>
    <t xml:space="preserve">MMA -80 kg</t>
  </si>
  <si>
    <t xml:space="preserve">Miguel IBAO</t>
  </si>
  <si>
    <t xml:space="preserve">MATHIAS DIJOUX</t>
  </si>
  <si>
    <t xml:space="preserve">Co-vedette</t>
  </si>
  <si>
    <t xml:space="preserve">Seniors H 98-100 kg</t>
  </si>
  <si>
    <t xml:space="preserve">Clément DELMAS</t>
  </si>
  <si>
    <t xml:space="preserve">CEDRIC PAYET</t>
  </si>
  <si>
    <t xml:space="preserve">13h30</t>
  </si>
  <si>
    <t xml:space="preserve">Seniors H 60-66 kg</t>
  </si>
  <si>
    <t xml:space="preserve">Jonathan BOYER</t>
  </si>
  <si>
    <t xml:space="preserve">Seniors H 79-84 kg</t>
  </si>
  <si>
    <t xml:space="preserve">Guillaume PASQUET</t>
  </si>
  <si>
    <t xml:space="preserve">13h35</t>
  </si>
  <si>
    <t xml:space="preserve">Seniors H 100-106 kg</t>
  </si>
  <si>
    <t xml:space="preserve">Salim YOUSSOUF</t>
  </si>
  <si>
    <t xml:space="preserve">Combat vedette</t>
  </si>
  <si>
    <t xml:space="preserve">Événement</t>
  </si>
  <si>
    <t xml:space="preserve">Shidokan Challenge 974</t>
  </si>
  <si>
    <t xml:space="preserve">Date</t>
  </si>
  <si>
    <t xml:space="preserve">Dimanche 25 octobre 2026</t>
  </si>
  <si>
    <t xml:space="preserve">Lieu</t>
  </si>
  <si>
    <t xml:space="preserve">Gymnase du 12ème km · Le Tampon</t>
  </si>
  <si>
    <t xml:space="preserve">Horaires</t>
  </si>
  <si>
    <t xml:space="preserve">8h30 – 15h</t>
  </si>
  <si>
    <t xml:space="preserve">Organisation</t>
  </si>
  <si>
    <t xml:space="preserve">Fighter Academy Karaté</t>
  </si>
  <si>
    <t xml:space="preserve">Aires de combat</t>
  </si>
  <si>
    <t xml:space="preserve">Barème poules</t>
  </si>
  <si>
    <t xml:space="preserve">Victoire 3 · Nul 1 · Défaite 0</t>
  </si>
  <si>
    <t xml:space="preserve">Étape</t>
  </si>
  <si>
    <t xml:space="preserve">8h30</t>
  </si>
  <si>
    <t xml:space="preserve">Accueil &amp; pesée</t>
  </si>
  <si>
    <t xml:space="preserve">9h00</t>
  </si>
  <si>
    <t xml:space="preserve">Ouverture &amp; salut</t>
  </si>
  <si>
    <t xml:space="preserve">9h20</t>
  </si>
  <si>
    <t xml:space="preserve">Combats enfants · 1'30</t>
  </si>
  <si>
    <t xml:space="preserve">12h15</t>
  </si>
  <si>
    <t xml:space="preserve">Pause déjeuner</t>
  </si>
  <si>
    <t xml:space="preserve">Combats adultes · 2'</t>
  </si>
  <si>
    <t xml:space="preserve">14h30</t>
  </si>
  <si>
    <t xml:space="preserve">Podiums · fin 15h</t>
  </si>
  <si>
    <t xml:space="preserve">Source : application de pilotage Shidokan Challenge 974, état du 20 octobre 2026.</t>
  </si>
  <si>
    <t xml:space="preserve">Nom affiché</t>
  </si>
  <si>
    <t xml:space="preserve">Prénom</t>
  </si>
  <si>
    <t xml:space="preserve">Nom</t>
  </si>
  <si>
    <t xml:space="preserve">Code</t>
  </si>
  <si>
    <t xml:space="preserve">Sexe</t>
  </si>
  <si>
    <t xml:space="preserve">Catégorie d'âge</t>
  </si>
  <si>
    <t xml:space="preserve">Catégorie de poids</t>
  </si>
  <si>
    <t xml:space="preserve">Poids déclaré (kg)</t>
  </si>
  <si>
    <t xml:space="preserve">Poids pesée (kg)</t>
  </si>
  <si>
    <t xml:space="preserve">Disciplines</t>
  </si>
  <si>
    <t xml:space="preserve">Nb de combats</t>
  </si>
  <si>
    <t xml:space="preserve">Ethan</t>
  </si>
  <si>
    <t xml:space="preserve">ICAZE</t>
  </si>
  <si>
    <t xml:space="preserve">H</t>
  </si>
  <si>
    <t xml:space="preserve">Cadets</t>
  </si>
  <si>
    <t xml:space="preserve">Jonathan</t>
  </si>
  <si>
    <t xml:space="preserve">BOYER</t>
  </si>
  <si>
    <t xml:space="preserve">Keo</t>
  </si>
  <si>
    <t xml:space="preserve">ZAMBERNARDI</t>
  </si>
  <si>
    <t xml:space="preserve">Lorentz</t>
  </si>
  <si>
    <t xml:space="preserve">PAYET</t>
  </si>
  <si>
    <t xml:space="preserve">Benjamins</t>
  </si>
  <si>
    <t xml:space="preserve">Melina</t>
  </si>
  <si>
    <t xml:space="preserve">FOLIO</t>
  </si>
  <si>
    <t xml:space="preserve">F</t>
  </si>
  <si>
    <t xml:space="preserve">Pupilles</t>
  </si>
  <si>
    <t xml:space="preserve">Exhibition. Catégorie à préciser.</t>
  </si>
  <si>
    <t xml:space="preserve">Mike</t>
  </si>
  <si>
    <t xml:space="preserve">MIKE</t>
  </si>
  <si>
    <t xml:space="preserve">Seniors</t>
  </si>
  <si>
    <t xml:space="preserve">-80 kg</t>
  </si>
  <si>
    <t xml:space="preserve">NOA</t>
  </si>
  <si>
    <t xml:space="preserve">Raphaël</t>
  </si>
  <si>
    <t xml:space="preserve">FRAYNAL</t>
  </si>
  <si>
    <t xml:space="preserve">AXEL</t>
  </si>
  <si>
    <t xml:space="preserve">DUHOU</t>
  </si>
  <si>
    <t xml:space="preserve">Fukkatsu Kyokushin</t>
  </si>
  <si>
    <t xml:space="preserve">Basile</t>
  </si>
  <si>
    <t xml:space="preserve">ABEL</t>
  </si>
  <si>
    <t xml:space="preserve">Benjamin</t>
  </si>
  <si>
    <t xml:space="preserve">LEGRAND</t>
  </si>
  <si>
    <t xml:space="preserve">Bilal</t>
  </si>
  <si>
    <t xml:space="preserve">SALIMA</t>
  </si>
  <si>
    <t xml:space="preserve">Minimes</t>
  </si>
  <si>
    <t xml:space="preserve">Camilya</t>
  </si>
  <si>
    <t xml:space="preserve">BACAR</t>
  </si>
  <si>
    <t xml:space="preserve">Poussins</t>
  </si>
  <si>
    <t xml:space="preserve">Clément</t>
  </si>
  <si>
    <t xml:space="preserve">DELMAS</t>
  </si>
  <si>
    <t xml:space="preserve">Réparti en -80 kg ou +80 kg à la pesée.</t>
  </si>
  <si>
    <t xml:space="preserve">EDEN</t>
  </si>
  <si>
    <t xml:space="preserve">Elie-Rose</t>
  </si>
  <si>
    <t xml:space="preserve">THOMAS</t>
  </si>
  <si>
    <t xml:space="preserve">Guillaume</t>
  </si>
  <si>
    <t xml:space="preserve">PASQUET</t>
  </si>
  <si>
    <t xml:space="preserve">Inès</t>
  </si>
  <si>
    <t xml:space="preserve">ICHARD</t>
  </si>
  <si>
    <t xml:space="preserve">Kiria</t>
  </si>
  <si>
    <t xml:space="preserve">Liam</t>
  </si>
  <si>
    <t xml:space="preserve">PROST</t>
  </si>
  <si>
    <t xml:space="preserve">Logan</t>
  </si>
  <si>
    <t xml:space="preserve">Mahé</t>
  </si>
  <si>
    <t xml:space="preserve">Nathan</t>
  </si>
  <si>
    <t xml:space="preserve">BABEF</t>
  </si>
  <si>
    <t xml:space="preserve">Pierre</t>
  </si>
  <si>
    <t xml:space="preserve">RODRIGUE</t>
  </si>
  <si>
    <t xml:space="preserve">Salim</t>
  </si>
  <si>
    <t xml:space="preserve">YOUSSOUF</t>
  </si>
  <si>
    <t xml:space="preserve">Sébastien</t>
  </si>
  <si>
    <t xml:space="preserve">ELIE</t>
  </si>
  <si>
    <t xml:space="preserve">Antoine</t>
  </si>
  <si>
    <t xml:space="preserve">RIVIERE</t>
  </si>
  <si>
    <t xml:space="preserve">Mandrill Dojo</t>
  </si>
  <si>
    <t xml:space="preserve">-35 KG</t>
  </si>
  <si>
    <t xml:space="preserve">CEDRIC</t>
  </si>
  <si>
    <t xml:space="preserve">-100 KG</t>
  </si>
  <si>
    <t xml:space="preserve">DOMNOE</t>
  </si>
  <si>
    <t xml:space="preserve">COUILLAUD</t>
  </si>
  <si>
    <t xml:space="preserve">-40 KG</t>
  </si>
  <si>
    <t xml:space="preserve">EVE</t>
  </si>
  <si>
    <t xml:space="preserve">-55</t>
  </si>
  <si>
    <t xml:space="preserve">GILLES</t>
  </si>
  <si>
    <t xml:space="preserve">IDMOND</t>
  </si>
  <si>
    <t xml:space="preserve">-75 KG</t>
  </si>
  <si>
    <t xml:space="preserve">HELENA</t>
  </si>
  <si>
    <t xml:space="preserve">HUGO</t>
  </si>
  <si>
    <t xml:space="preserve">GRONDIN</t>
  </si>
  <si>
    <t xml:space="preserve">- 35KG</t>
  </si>
  <si>
    <t xml:space="preserve">Lily</t>
  </si>
  <si>
    <t xml:space="preserve">BEGUE</t>
  </si>
  <si>
    <t xml:space="preserve">Lucie</t>
  </si>
  <si>
    <t xml:space="preserve">MATHIAS</t>
  </si>
  <si>
    <t xml:space="preserve">DIJOUX</t>
  </si>
  <si>
    <t xml:space="preserve">-80 KG</t>
  </si>
  <si>
    <t xml:space="preserve">Matys</t>
  </si>
  <si>
    <t xml:space="preserve">LABRUYERE</t>
  </si>
  <si>
    <t xml:space="preserve">full puissance</t>
  </si>
  <si>
    <t xml:space="preserve">NATHAN</t>
  </si>
  <si>
    <t xml:space="preserve">-40</t>
  </si>
  <si>
    <t xml:space="preserve">ROBIN</t>
  </si>
  <si>
    <t xml:space="preserve">TURPIN</t>
  </si>
  <si>
    <t xml:space="preserve">-60</t>
  </si>
  <si>
    <t xml:space="preserve">THEO</t>
  </si>
  <si>
    <t xml:space="preserve">FONTAINE</t>
  </si>
  <si>
    <t xml:space="preserve">- 60KG</t>
  </si>
  <si>
    <t xml:space="preserve">Karaté Shidokan, Shidoboxing</t>
  </si>
  <si>
    <t xml:space="preserve">YVAN</t>
  </si>
  <si>
    <t xml:space="preserve">Ambre</t>
  </si>
  <si>
    <t xml:space="preserve">BEAUVOIR</t>
  </si>
  <si>
    <t xml:space="preserve">Shogun Kyokushin</t>
  </si>
  <si>
    <t xml:space="preserve">Chloé</t>
  </si>
  <si>
    <t xml:space="preserve">Exhibition boxing. Catégorie d'âge à préciser.</t>
  </si>
  <si>
    <t xml:space="preserve">Emmanuelle</t>
  </si>
  <si>
    <t xml:space="preserve">GRUCHET</t>
  </si>
  <si>
    <t xml:space="preserve">Lourd</t>
  </si>
  <si>
    <t xml:space="preserve">Jean-Marc</t>
  </si>
  <si>
    <t xml:space="preserve">SERGE</t>
  </si>
  <si>
    <t xml:space="preserve">Lanah</t>
  </si>
  <si>
    <t xml:space="preserve">BARDINOT</t>
  </si>
  <si>
    <t xml:space="preserve">Mathéo</t>
  </si>
  <si>
    <t xml:space="preserve">GABRIEL</t>
  </si>
  <si>
    <t xml:space="preserve">Miguel</t>
  </si>
  <si>
    <t xml:space="preserve">IBAO</t>
  </si>
  <si>
    <t xml:space="preserve">Thomas</t>
  </si>
  <si>
    <t xml:space="preserve">GUICHARD</t>
  </si>
  <si>
    <t xml:space="preserve">+80 kg</t>
  </si>
  <si>
    <t xml:space="preserve">FUK</t>
  </si>
  <si>
    <t xml:space="preserve">MAN</t>
  </si>
  <si>
    <t xml:space="preserve">SHO</t>
  </si>
  <si>
    <t xml:space="preserve">FAK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</si>
</sst>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44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0B1440"/>
      <name val="Arial"/>
      <family val="0"/>
      <charset val="1"/>
    </font>
    <font>
      <sz val="11"/>
      <color rgb="FF33333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C8102E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F5BD1"/>
      <name val="Arial"/>
      <family val="0"/>
      <charset val="1"/>
    </font>
    <font>
      <b val="true"/>
      <i val="true"/>
      <sz val="11"/>
      <color rgb="FF1F5BD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B1440"/>
        <bgColor rgb="FF1F2A63"/>
      </patternFill>
    </fill>
    <fill>
      <patternFill patternType="solid">
        <fgColor rgb="FFC8102E"/>
        <bgColor rgb="FFE0283A"/>
      </patternFill>
    </fill>
    <fill>
      <patternFill patternType="solid">
        <fgColor rgb="FF1F5BD1"/>
        <bgColor rgb="FF3366FF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F"/>
      </left>
      <right style="thin">
        <color rgb="FFC9CEDF"/>
      </right>
      <top style="thin">
        <color rgb="FFC9CEDF"/>
      </top>
      <bottom style="thin">
        <color rgb="FFC9CE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0B1440"/>
          <bgColor rgb="FF000000"/>
        </patternFill>
      </fill>
    </dxf>
    <dxf>
      <fill>
        <patternFill patternType="solid">
          <fgColor rgb="FF1F2A63"/>
          <bgColor rgb="FF000000"/>
        </patternFill>
      </fill>
    </dxf>
    <dxf>
      <fill>
        <patternFill patternType="solid">
          <fgColor rgb="FFE028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10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5BD1"/>
          <bgColor rgb="FF000000"/>
        </patternFill>
      </fill>
    </dxf>
    <dxf>
      <fill>
        <patternFill>
          <bgColor rgb="FFD7F2E1"/>
        </patternFill>
      </fill>
    </dxf>
    <dxf>
      <fill>
        <patternFill>
          <bgColor rgb="FFFFE08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2A6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283A"/>
        </patternFill>
      </fill>
    </dxf>
    <dxf>
      <fill>
        <patternFill patternType="solid">
          <fgColor rgb="FFFAD4D8"/>
          <bgColor rgb="FF000000"/>
        </patternFill>
      </fill>
    </dxf>
    <dxf>
      <font>
        <name val="Arial"/>
        <charset val="1"/>
        <family val="0"/>
        <b val="1"/>
        <color rgb="FFC8102E"/>
      </font>
      <fill>
        <patternFill>
          <bgColor rgb="FFFAD4D8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B1440"/>
      <rgbColor rgb="FF808000"/>
      <rgbColor rgb="FF800080"/>
      <rgbColor rgb="FF008080"/>
      <rgbColor rgb="FFFAD4D8"/>
      <rgbColor rgb="FF808080"/>
      <rgbColor rgb="FF9999FF"/>
      <rgbColor rgb="FFE0283A"/>
      <rgbColor rgb="FFFFF6CC"/>
      <rgbColor rgb="FFCCFFFF"/>
      <rgbColor rgb="FF660066"/>
      <rgbColor rgb="FFFF8080"/>
      <rgbColor rgb="FF1F5BD1"/>
      <rgbColor rgb="FFC9CE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2E1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5"/>
    <col collapsed="false" customWidth="true" hidden="false" outlineLevel="0" max="4" min="4" style="0" width="17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4"/>
    <col collapsed="false" customWidth="true" hidden="false" outlineLevel="0" max="10" min="10" style="0" width="7"/>
    <col collapsed="false" customWidth="true" hidden="false" outlineLevel="0" max="11" min="11" style="0" width="24"/>
    <col collapsed="false" customWidth="true" hidden="false" outlineLevel="0" max="12" min="12" style="0" width="7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22"/>
    <col collapsed="false" customWidth="true" hidden="false" outlineLevel="0" max="16" min="16" style="0" width="15"/>
    <col collapsed="false" customWidth="true" hidden="false" outlineLevel="0" max="17" min="17" style="0" width="7"/>
    <col collapsed="false" customWidth="true" hidden="false" outlineLevel="0" max="18" min="18" style="0" width="26"/>
  </cols>
  <sheetData>
    <row r="1" customFormat="false" ht="19.7" hidden="false" customHeight="false" outlineLevel="0" collapsed="false">
      <c r="A1" s="1" t="s">
        <v>0</v>
      </c>
      <c r="N1" s="2" t="s">
        <v>1</v>
      </c>
      <c r="O1" s="3" t="n">
        <f aca="false">COUNTA(I6:I200)</f>
        <v>28</v>
      </c>
    </row>
    <row r="2" customFormat="false" ht="15" hidden="false" customHeight="false" outlineLevel="0" collapsed="false">
      <c r="A2" s="4" t="s">
        <v>2</v>
      </c>
      <c r="N2" s="2" t="s">
        <v>3</v>
      </c>
      <c r="O2" s="3" t="n">
        <f aca="false">COUNTIF(M6:M200,"Terminé")</f>
        <v>0</v>
      </c>
    </row>
    <row r="3" customFormat="false" ht="15" hidden="false" customHeight="false" outlineLevel="0" collapsed="false">
      <c r="A3" s="5" t="s">
        <v>4</v>
      </c>
      <c r="N3" s="2" t="s">
        <v>5</v>
      </c>
      <c r="O3" s="3" t="n">
        <f aca="false">O1-O2</f>
        <v>28</v>
      </c>
    </row>
    <row r="5" customFormat="false" ht="31.5" hidden="false" customHeight="true" outlineLevel="0" collapsed="false">
      <c r="A5" s="6" t="s">
        <v>6</v>
      </c>
      <c r="B5" s="6" t="s">
        <v>7</v>
      </c>
      <c r="C5" s="6" t="s">
        <v>8</v>
      </c>
      <c r="D5" s="6" t="s">
        <v>9</v>
      </c>
      <c r="E5" s="6" t="s">
        <v>10</v>
      </c>
      <c r="F5" s="6" t="s">
        <v>11</v>
      </c>
      <c r="G5" s="6" t="s">
        <v>12</v>
      </c>
      <c r="H5" s="6" t="s">
        <v>13</v>
      </c>
      <c r="I5" s="7" t="s">
        <v>14</v>
      </c>
      <c r="J5" s="7" t="s">
        <v>15</v>
      </c>
      <c r="K5" s="8" t="s">
        <v>16</v>
      </c>
      <c r="L5" s="8" t="s">
        <v>15</v>
      </c>
      <c r="M5" s="6" t="s">
        <v>17</v>
      </c>
      <c r="N5" s="6" t="s">
        <v>18</v>
      </c>
      <c r="O5" s="6" t="s">
        <v>19</v>
      </c>
      <c r="P5" s="6" t="s">
        <v>20</v>
      </c>
      <c r="Q5" s="6" t="s">
        <v>21</v>
      </c>
      <c r="R5" s="6" t="s">
        <v>22</v>
      </c>
    </row>
    <row r="6" customFormat="false" ht="15" hidden="false" customHeight="false" outlineLevel="0" collapsed="false">
      <c r="A6" s="9" t="n">
        <v>1</v>
      </c>
      <c r="B6" s="9" t="s">
        <v>23</v>
      </c>
      <c r="C6" s="9" t="n">
        <v>1</v>
      </c>
      <c r="D6" s="10" t="s">
        <v>24</v>
      </c>
      <c r="E6" s="11" t="s">
        <v>25</v>
      </c>
      <c r="F6" s="10" t="s">
        <v>26</v>
      </c>
      <c r="G6" s="10" t="s">
        <v>27</v>
      </c>
      <c r="H6" s="10" t="s">
        <v>28</v>
      </c>
      <c r="I6" s="12" t="s">
        <v>29</v>
      </c>
      <c r="J6" s="13" t="str">
        <f aca="false">IFERROR(INDEX(Combattants!$E$2:$E$200,MATCH(I6,Combattants!$A$2:$A$200,0)),"")</f>
        <v>FUK</v>
      </c>
      <c r="K6" s="14" t="s">
        <v>30</v>
      </c>
      <c r="L6" s="13" t="str">
        <f aca="false">IFERROR(INDEX(Combattants!$E$2:$E$200,MATCH(K6,Combattants!$A$2:$A$200,0)),"")</f>
        <v>FUK</v>
      </c>
      <c r="M6" s="9" t="s">
        <v>31</v>
      </c>
      <c r="N6" s="9"/>
      <c r="O6" s="13" t="str">
        <f aca="false">IF(N6="Rouge",I6,IF(N6="Bleu",K6,IF(N6="Nul","Match nul","")))</f>
        <v/>
      </c>
      <c r="P6" s="9"/>
      <c r="Q6" s="9"/>
      <c r="R6" s="11"/>
    </row>
    <row r="7" customFormat="false" ht="15" hidden="false" customHeight="false" outlineLevel="0" collapsed="false">
      <c r="A7" s="9" t="n">
        <v>2</v>
      </c>
      <c r="B7" s="9" t="s">
        <v>23</v>
      </c>
      <c r="C7" s="9" t="n">
        <v>2</v>
      </c>
      <c r="D7" s="10" t="s">
        <v>24</v>
      </c>
      <c r="E7" s="11" t="s">
        <v>32</v>
      </c>
      <c r="F7" s="10" t="s">
        <v>26</v>
      </c>
      <c r="G7" s="10" t="s">
        <v>27</v>
      </c>
      <c r="H7" s="10" t="s">
        <v>28</v>
      </c>
      <c r="I7" s="12" t="s">
        <v>33</v>
      </c>
      <c r="J7" s="13" t="str">
        <f aca="false">IFERROR(INDEX(Combattants!$E$2:$E$200,MATCH(I7,Combattants!$A$2:$A$200,0)),"")</f>
        <v>FUK</v>
      </c>
      <c r="K7" s="14" t="s">
        <v>34</v>
      </c>
      <c r="L7" s="13" t="str">
        <f aca="false">IFERROR(INDEX(Combattants!$E$2:$E$200,MATCH(K7,Combattants!$A$2:$A$200,0)),"")</f>
        <v>MAN</v>
      </c>
      <c r="M7" s="9" t="s">
        <v>31</v>
      </c>
      <c r="N7" s="9"/>
      <c r="O7" s="13" t="str">
        <f aca="false">IF(N7="Rouge",I7,IF(N7="Bleu",K7,IF(N7="Nul","Match nul","")))</f>
        <v/>
      </c>
      <c r="P7" s="9"/>
      <c r="Q7" s="9"/>
      <c r="R7" s="11"/>
    </row>
    <row r="8" customFormat="false" ht="15" hidden="false" customHeight="false" outlineLevel="0" collapsed="false">
      <c r="A8" s="9" t="n">
        <v>3</v>
      </c>
      <c r="B8" s="9" t="s">
        <v>35</v>
      </c>
      <c r="C8" s="9" t="n">
        <v>1</v>
      </c>
      <c r="D8" s="10" t="s">
        <v>24</v>
      </c>
      <c r="E8" s="11" t="s">
        <v>36</v>
      </c>
      <c r="F8" s="10" t="s">
        <v>26</v>
      </c>
      <c r="G8" s="10" t="s">
        <v>27</v>
      </c>
      <c r="H8" s="10" t="s">
        <v>28</v>
      </c>
      <c r="I8" s="12" t="s">
        <v>37</v>
      </c>
      <c r="J8" s="13" t="str">
        <f aca="false">IFERROR(INDEX(Combattants!$E$2:$E$200,MATCH(I8,Combattants!$A$2:$A$200,0)),"")</f>
        <v>FUK</v>
      </c>
      <c r="K8" s="14" t="s">
        <v>38</v>
      </c>
      <c r="L8" s="13" t="str">
        <f aca="false">IFERROR(INDEX(Combattants!$E$2:$E$200,MATCH(K8,Combattants!$A$2:$A$200,0)),"")</f>
        <v>MAN</v>
      </c>
      <c r="M8" s="9" t="s">
        <v>31</v>
      </c>
      <c r="N8" s="9"/>
      <c r="O8" s="13" t="str">
        <f aca="false">IF(N8="Rouge",I8,IF(N8="Bleu",K8,IF(N8="Nul","Match nul","")))</f>
        <v/>
      </c>
      <c r="P8" s="9"/>
      <c r="Q8" s="9"/>
      <c r="R8" s="11"/>
    </row>
    <row r="9" customFormat="false" ht="15" hidden="false" customHeight="false" outlineLevel="0" collapsed="false">
      <c r="A9" s="9" t="n">
        <v>4</v>
      </c>
      <c r="B9" s="9" t="s">
        <v>35</v>
      </c>
      <c r="C9" s="9" t="n">
        <v>2</v>
      </c>
      <c r="D9" s="10" t="s">
        <v>24</v>
      </c>
      <c r="E9" s="11" t="s">
        <v>39</v>
      </c>
      <c r="F9" s="10" t="s">
        <v>26</v>
      </c>
      <c r="G9" s="10" t="s">
        <v>27</v>
      </c>
      <c r="H9" s="10" t="s">
        <v>28</v>
      </c>
      <c r="I9" s="12" t="s">
        <v>40</v>
      </c>
      <c r="J9" s="13" t="str">
        <f aca="false">IFERROR(INDEX(Combattants!$E$2:$E$200,MATCH(I9,Combattants!$A$2:$A$200,0)),"")</f>
        <v>MAN</v>
      </c>
      <c r="K9" s="14" t="s">
        <v>41</v>
      </c>
      <c r="L9" s="13" t="str">
        <f aca="false">IFERROR(INDEX(Combattants!$E$2:$E$200,MATCH(K9,Combattants!$A$2:$A$200,0)),"")</f>
        <v>MAN</v>
      </c>
      <c r="M9" s="9" t="s">
        <v>31</v>
      </c>
      <c r="N9" s="9"/>
      <c r="O9" s="13" t="str">
        <f aca="false">IF(N9="Rouge",I9,IF(N9="Bleu",K9,IF(N9="Nul","Match nul","")))</f>
        <v/>
      </c>
      <c r="P9" s="9"/>
      <c r="Q9" s="9"/>
      <c r="R9" s="11"/>
    </row>
    <row r="10" customFormat="false" ht="15" hidden="false" customHeight="false" outlineLevel="0" collapsed="false">
      <c r="A10" s="9" t="n">
        <v>5</v>
      </c>
      <c r="B10" s="9" t="s">
        <v>42</v>
      </c>
      <c r="C10" s="9" t="n">
        <v>1</v>
      </c>
      <c r="D10" s="10" t="s">
        <v>24</v>
      </c>
      <c r="E10" s="11" t="s">
        <v>43</v>
      </c>
      <c r="F10" s="10" t="s">
        <v>44</v>
      </c>
      <c r="G10" s="10" t="s">
        <v>45</v>
      </c>
      <c r="H10" s="10" t="s">
        <v>28</v>
      </c>
      <c r="I10" s="12" t="s">
        <v>46</v>
      </c>
      <c r="J10" s="13" t="str">
        <f aca="false">IFERROR(INDEX(Combattants!$E$2:$E$200,MATCH(I10,Combattants!$A$2:$A$200,0)),"")</f>
        <v>SHO</v>
      </c>
      <c r="K10" s="15" t="s">
        <v>47</v>
      </c>
      <c r="L10" s="13" t="str">
        <f aca="false">IFERROR(INDEX(Combattants!$E$2:$E$200,MATCH(K10,Combattants!$A$2:$A$200,0)),"")</f>
        <v/>
      </c>
      <c r="M10" s="9" t="s">
        <v>31</v>
      </c>
      <c r="N10" s="9"/>
      <c r="O10" s="13" t="str">
        <f aca="false">IF(N10="Rouge",I10,IF(N10="Bleu",K10,IF(N10="Nul","Match nul","")))</f>
        <v/>
      </c>
      <c r="P10" s="9"/>
      <c r="Q10" s="9"/>
      <c r="R10" s="11"/>
    </row>
    <row r="11" customFormat="false" ht="15" hidden="false" customHeight="false" outlineLevel="0" collapsed="false">
      <c r="A11" s="9" t="n">
        <v>6</v>
      </c>
      <c r="B11" s="9" t="s">
        <v>42</v>
      </c>
      <c r="C11" s="9" t="n">
        <v>2</v>
      </c>
      <c r="D11" s="10" t="s">
        <v>24</v>
      </c>
      <c r="E11" s="11" t="s">
        <v>48</v>
      </c>
      <c r="F11" s="10" t="s">
        <v>44</v>
      </c>
      <c r="G11" s="10" t="s">
        <v>27</v>
      </c>
      <c r="H11" s="10" t="s">
        <v>28</v>
      </c>
      <c r="I11" s="12" t="s">
        <v>49</v>
      </c>
      <c r="J11" s="13" t="str">
        <f aca="false">IFERROR(INDEX(Combattants!$E$2:$E$200,MATCH(I11,Combattants!$A$2:$A$200,0)),"")</f>
        <v>SHO</v>
      </c>
      <c r="K11" s="15" t="s">
        <v>47</v>
      </c>
      <c r="L11" s="13" t="str">
        <f aca="false">IFERROR(INDEX(Combattants!$E$2:$E$200,MATCH(K11,Combattants!$A$2:$A$200,0)),"")</f>
        <v/>
      </c>
      <c r="M11" s="9" t="s">
        <v>31</v>
      </c>
      <c r="N11" s="9"/>
      <c r="O11" s="13" t="str">
        <f aca="false">IF(N11="Rouge",I11,IF(N11="Bleu",K11,IF(N11="Nul","Match nul","")))</f>
        <v/>
      </c>
      <c r="P11" s="9"/>
      <c r="Q11" s="9"/>
      <c r="R11" s="11"/>
    </row>
    <row r="12" customFormat="false" ht="15" hidden="false" customHeight="false" outlineLevel="0" collapsed="false">
      <c r="A12" s="9" t="n">
        <v>7</v>
      </c>
      <c r="B12" s="9" t="s">
        <v>50</v>
      </c>
      <c r="C12" s="9" t="n">
        <v>1</v>
      </c>
      <c r="D12" s="10" t="s">
        <v>24</v>
      </c>
      <c r="E12" s="11" t="s">
        <v>51</v>
      </c>
      <c r="F12" s="10" t="s">
        <v>26</v>
      </c>
      <c r="G12" s="10" t="s">
        <v>27</v>
      </c>
      <c r="H12" s="10" t="s">
        <v>28</v>
      </c>
      <c r="I12" s="12" t="s">
        <v>52</v>
      </c>
      <c r="J12" s="13" t="str">
        <f aca="false">IFERROR(INDEX(Combattants!$E$2:$E$200,MATCH(I12,Combattants!$A$2:$A$200,0)),"")</f>
        <v>FAK</v>
      </c>
      <c r="K12" s="14" t="s">
        <v>38</v>
      </c>
      <c r="L12" s="13" t="str">
        <f aca="false">IFERROR(INDEX(Combattants!$E$2:$E$200,MATCH(K12,Combattants!$A$2:$A$200,0)),"")</f>
        <v>MAN</v>
      </c>
      <c r="M12" s="9" t="s">
        <v>31</v>
      </c>
      <c r="N12" s="9"/>
      <c r="O12" s="13" t="str">
        <f aca="false">IF(N12="Rouge",I12,IF(N12="Bleu",K12,IF(N12="Nul","Match nul","")))</f>
        <v/>
      </c>
      <c r="P12" s="9"/>
      <c r="Q12" s="9"/>
      <c r="R12" s="11"/>
    </row>
    <row r="13" customFormat="false" ht="15" hidden="false" customHeight="false" outlineLevel="0" collapsed="false">
      <c r="A13" s="9" t="n">
        <v>8</v>
      </c>
      <c r="B13" s="9" t="s">
        <v>50</v>
      </c>
      <c r="C13" s="9" t="n">
        <v>2</v>
      </c>
      <c r="D13" s="10" t="s">
        <v>24</v>
      </c>
      <c r="E13" s="11" t="s">
        <v>53</v>
      </c>
      <c r="F13" s="10" t="s">
        <v>26</v>
      </c>
      <c r="G13" s="10" t="s">
        <v>27</v>
      </c>
      <c r="H13" s="10" t="s">
        <v>28</v>
      </c>
      <c r="I13" s="12" t="s">
        <v>54</v>
      </c>
      <c r="J13" s="13" t="str">
        <f aca="false">IFERROR(INDEX(Combattants!$E$2:$E$200,MATCH(I13,Combattants!$A$2:$A$200,0)),"")</f>
        <v>FUK</v>
      </c>
      <c r="K13" s="14" t="s">
        <v>55</v>
      </c>
      <c r="L13" s="13" t="str">
        <f aca="false">IFERROR(INDEX(Combattants!$E$2:$E$200,MATCH(K13,Combattants!$A$2:$A$200,0)),"")</f>
        <v>FAK</v>
      </c>
      <c r="M13" s="9" t="s">
        <v>31</v>
      </c>
      <c r="N13" s="9"/>
      <c r="O13" s="13" t="str">
        <f aca="false">IF(N13="Rouge",I13,IF(N13="Bleu",K13,IF(N13="Nul","Match nul","")))</f>
        <v/>
      </c>
      <c r="P13" s="9"/>
      <c r="Q13" s="9"/>
      <c r="R13" s="11"/>
    </row>
    <row r="14" customFormat="false" ht="15" hidden="false" customHeight="false" outlineLevel="0" collapsed="false">
      <c r="A14" s="9" t="n">
        <v>9</v>
      </c>
      <c r="B14" s="9" t="s">
        <v>56</v>
      </c>
      <c r="C14" s="9" t="n">
        <v>1</v>
      </c>
      <c r="D14" s="10" t="s">
        <v>24</v>
      </c>
      <c r="E14" s="11" t="s">
        <v>57</v>
      </c>
      <c r="F14" s="10" t="s">
        <v>26</v>
      </c>
      <c r="G14" s="10" t="s">
        <v>27</v>
      </c>
      <c r="H14" s="10" t="s">
        <v>28</v>
      </c>
      <c r="I14" s="12" t="s">
        <v>58</v>
      </c>
      <c r="J14" s="13" t="str">
        <f aca="false">IFERROR(INDEX(Combattants!$E$2:$E$200,MATCH(I14,Combattants!$A$2:$A$200,0)),"")</f>
        <v>MAN</v>
      </c>
      <c r="K14" s="14" t="s">
        <v>59</v>
      </c>
      <c r="L14" s="13" t="str">
        <f aca="false">IFERROR(INDEX(Combattants!$E$2:$E$200,MATCH(K14,Combattants!$A$2:$A$200,0)),"")</f>
        <v>FUK</v>
      </c>
      <c r="M14" s="9" t="s">
        <v>31</v>
      </c>
      <c r="N14" s="9"/>
      <c r="O14" s="13" t="str">
        <f aca="false">IF(N14="Rouge",I14,IF(N14="Bleu",K14,IF(N14="Nul","Match nul","")))</f>
        <v/>
      </c>
      <c r="P14" s="9"/>
      <c r="Q14" s="9"/>
      <c r="R14" s="11"/>
    </row>
    <row r="15" customFormat="false" ht="15" hidden="false" customHeight="false" outlineLevel="0" collapsed="false">
      <c r="A15" s="9" t="n">
        <v>10</v>
      </c>
      <c r="B15" s="9" t="s">
        <v>56</v>
      </c>
      <c r="C15" s="9" t="n">
        <v>2</v>
      </c>
      <c r="D15" s="10" t="s">
        <v>24</v>
      </c>
      <c r="E15" s="11" t="s">
        <v>60</v>
      </c>
      <c r="F15" s="10" t="s">
        <v>26</v>
      </c>
      <c r="G15" s="10" t="s">
        <v>27</v>
      </c>
      <c r="H15" s="10" t="s">
        <v>28</v>
      </c>
      <c r="I15" s="12" t="s">
        <v>61</v>
      </c>
      <c r="J15" s="13" t="str">
        <f aca="false">IFERROR(INDEX(Combattants!$E$2:$E$200,MATCH(I15,Combattants!$A$2:$A$200,0)),"")</f>
        <v>MAN</v>
      </c>
      <c r="K15" s="14" t="s">
        <v>62</v>
      </c>
      <c r="L15" s="13" t="str">
        <f aca="false">IFERROR(INDEX(Combattants!$E$2:$E$200,MATCH(K15,Combattants!$A$2:$A$200,0)),"")</f>
        <v>FUK</v>
      </c>
      <c r="M15" s="9" t="s">
        <v>31</v>
      </c>
      <c r="N15" s="9"/>
      <c r="O15" s="13" t="str">
        <f aca="false">IF(N15="Rouge",I15,IF(N15="Bleu",K15,IF(N15="Nul","Match nul","")))</f>
        <v/>
      </c>
      <c r="P15" s="9"/>
      <c r="Q15" s="9"/>
      <c r="R15" s="11"/>
    </row>
    <row r="16" customFormat="false" ht="15" hidden="false" customHeight="false" outlineLevel="0" collapsed="false">
      <c r="A16" s="9" t="n">
        <v>11</v>
      </c>
      <c r="B16" s="9" t="s">
        <v>63</v>
      </c>
      <c r="C16" s="9" t="n">
        <v>1</v>
      </c>
      <c r="D16" s="10" t="s">
        <v>24</v>
      </c>
      <c r="E16" s="11" t="s">
        <v>60</v>
      </c>
      <c r="F16" s="10" t="s">
        <v>26</v>
      </c>
      <c r="G16" s="10" t="s">
        <v>27</v>
      </c>
      <c r="H16" s="10" t="s">
        <v>28</v>
      </c>
      <c r="I16" s="12" t="s">
        <v>64</v>
      </c>
      <c r="J16" s="13" t="str">
        <f aca="false">IFERROR(INDEX(Combattants!$E$2:$E$200,MATCH(I16,Combattants!$A$2:$A$200,0)),"")</f>
        <v>FAK</v>
      </c>
      <c r="K16" s="14" t="s">
        <v>65</v>
      </c>
      <c r="L16" s="13" t="str">
        <f aca="false">IFERROR(INDEX(Combattants!$E$2:$E$200,MATCH(K16,Combattants!$A$2:$A$200,0)),"")</f>
        <v>FUK</v>
      </c>
      <c r="M16" s="9" t="s">
        <v>31</v>
      </c>
      <c r="N16" s="9"/>
      <c r="O16" s="13" t="str">
        <f aca="false">IF(N16="Rouge",I16,IF(N16="Bleu",K16,IF(N16="Nul","Match nul","")))</f>
        <v/>
      </c>
      <c r="P16" s="9"/>
      <c r="Q16" s="9"/>
      <c r="R16" s="11"/>
    </row>
    <row r="17" customFormat="false" ht="15" hidden="false" customHeight="false" outlineLevel="0" collapsed="false">
      <c r="A17" s="9" t="n">
        <v>12</v>
      </c>
      <c r="B17" s="9" t="s">
        <v>63</v>
      </c>
      <c r="C17" s="9" t="n">
        <v>2</v>
      </c>
      <c r="D17" s="10" t="s">
        <v>24</v>
      </c>
      <c r="E17" s="11" t="s">
        <v>66</v>
      </c>
      <c r="F17" s="10" t="s">
        <v>26</v>
      </c>
      <c r="G17" s="10" t="s">
        <v>27</v>
      </c>
      <c r="H17" s="10" t="s">
        <v>28</v>
      </c>
      <c r="I17" s="12" t="s">
        <v>67</v>
      </c>
      <c r="J17" s="13" t="str">
        <f aca="false">IFERROR(INDEX(Combattants!$E$2:$E$200,MATCH(I17,Combattants!$A$2:$A$200,0)),"")</f>
        <v>FAK</v>
      </c>
      <c r="K17" s="14" t="s">
        <v>68</v>
      </c>
      <c r="L17" s="13" t="str">
        <f aca="false">IFERROR(INDEX(Combattants!$E$2:$E$200,MATCH(K17,Combattants!$A$2:$A$200,0)),"")</f>
        <v>FUK</v>
      </c>
      <c r="M17" s="9" t="s">
        <v>31</v>
      </c>
      <c r="N17" s="9"/>
      <c r="O17" s="13" t="str">
        <f aca="false">IF(N17="Rouge",I17,IF(N17="Bleu",K17,IF(N17="Nul","Match nul","")))</f>
        <v/>
      </c>
      <c r="P17" s="9"/>
      <c r="Q17" s="9"/>
      <c r="R17" s="11"/>
    </row>
    <row r="18" customFormat="false" ht="15" hidden="false" customHeight="false" outlineLevel="0" collapsed="false">
      <c r="A18" s="9" t="n">
        <v>13</v>
      </c>
      <c r="B18" s="9" t="s">
        <v>69</v>
      </c>
      <c r="C18" s="9" t="n">
        <v>1</v>
      </c>
      <c r="D18" s="10" t="s">
        <v>24</v>
      </c>
      <c r="E18" s="11" t="s">
        <v>57</v>
      </c>
      <c r="F18" s="10" t="s">
        <v>26</v>
      </c>
      <c r="G18" s="10" t="s">
        <v>27</v>
      </c>
      <c r="H18" s="10" t="s">
        <v>28</v>
      </c>
      <c r="I18" s="12" t="s">
        <v>70</v>
      </c>
      <c r="J18" s="13" t="str">
        <f aca="false">IFERROR(INDEX(Combattants!$E$2:$E$200,MATCH(I18,Combattants!$A$2:$A$200,0)),"")</f>
        <v>FUK</v>
      </c>
      <c r="K18" s="14" t="s">
        <v>58</v>
      </c>
      <c r="L18" s="13" t="str">
        <f aca="false">IFERROR(INDEX(Combattants!$E$2:$E$200,MATCH(K18,Combattants!$A$2:$A$200,0)),"")</f>
        <v>MAN</v>
      </c>
      <c r="M18" s="9" t="s">
        <v>31</v>
      </c>
      <c r="N18" s="9"/>
      <c r="O18" s="13" t="str">
        <f aca="false">IF(N18="Rouge",I18,IF(N18="Bleu",K18,IF(N18="Nul","Match nul","")))</f>
        <v/>
      </c>
      <c r="P18" s="9"/>
      <c r="Q18" s="9"/>
      <c r="R18" s="11"/>
    </row>
    <row r="19" customFormat="false" ht="15" hidden="false" customHeight="false" outlineLevel="0" collapsed="false">
      <c r="A19" s="9" t="n">
        <v>14</v>
      </c>
      <c r="B19" s="9" t="s">
        <v>69</v>
      </c>
      <c r="C19" s="9" t="n">
        <v>2</v>
      </c>
      <c r="D19" s="10" t="s">
        <v>24</v>
      </c>
      <c r="E19" s="11" t="s">
        <v>71</v>
      </c>
      <c r="F19" s="10" t="s">
        <v>26</v>
      </c>
      <c r="G19" s="10" t="s">
        <v>27</v>
      </c>
      <c r="H19" s="10" t="s">
        <v>28</v>
      </c>
      <c r="I19" s="12" t="s">
        <v>72</v>
      </c>
      <c r="J19" s="13" t="str">
        <f aca="false">IFERROR(INDEX(Combattants!$E$2:$E$200,MATCH(I19,Combattants!$A$2:$A$200,0)),"")</f>
        <v>FUK</v>
      </c>
      <c r="K19" s="14" t="s">
        <v>73</v>
      </c>
      <c r="L19" s="13" t="str">
        <f aca="false">IFERROR(INDEX(Combattants!$E$2:$E$200,MATCH(K19,Combattants!$A$2:$A$200,0)),"")</f>
        <v>MAN</v>
      </c>
      <c r="M19" s="9" t="s">
        <v>31</v>
      </c>
      <c r="N19" s="9"/>
      <c r="O19" s="13" t="str">
        <f aca="false">IF(N19="Rouge",I19,IF(N19="Bleu",K19,IF(N19="Nul","Match nul","")))</f>
        <v/>
      </c>
      <c r="P19" s="9"/>
      <c r="Q19" s="9"/>
      <c r="R19" s="11"/>
    </row>
    <row r="20" customFormat="false" ht="15" hidden="false" customHeight="false" outlineLevel="0" collapsed="false">
      <c r="A20" s="9" t="n">
        <v>15</v>
      </c>
      <c r="B20" s="9" t="s">
        <v>74</v>
      </c>
      <c r="C20" s="9" t="n">
        <v>1</v>
      </c>
      <c r="D20" s="10" t="s">
        <v>24</v>
      </c>
      <c r="E20" s="11" t="s">
        <v>75</v>
      </c>
      <c r="F20" s="10" t="s">
        <v>26</v>
      </c>
      <c r="G20" s="10" t="s">
        <v>27</v>
      </c>
      <c r="H20" s="10" t="s">
        <v>28</v>
      </c>
      <c r="I20" s="12" t="s">
        <v>76</v>
      </c>
      <c r="J20" s="13" t="str">
        <f aca="false">IFERROR(INDEX(Combattants!$E$2:$E$200,MATCH(I20,Combattants!$A$2:$A$200,0)),"")</f>
        <v>MAN</v>
      </c>
      <c r="K20" s="14" t="s">
        <v>77</v>
      </c>
      <c r="L20" s="13" t="str">
        <f aca="false">IFERROR(INDEX(Combattants!$E$2:$E$200,MATCH(K20,Combattants!$A$2:$A$200,0)),"")</f>
        <v>FUK</v>
      </c>
      <c r="M20" s="9" t="s">
        <v>31</v>
      </c>
      <c r="N20" s="9"/>
      <c r="O20" s="13" t="str">
        <f aca="false">IF(N20="Rouge",I20,IF(N20="Bleu",K20,IF(N20="Nul","Match nul","")))</f>
        <v/>
      </c>
      <c r="P20" s="9"/>
      <c r="Q20" s="9"/>
      <c r="R20" s="11"/>
    </row>
    <row r="21" customFormat="false" ht="15" hidden="false" customHeight="false" outlineLevel="0" collapsed="false">
      <c r="A21" s="9" t="n">
        <v>16</v>
      </c>
      <c r="B21" s="9" t="s">
        <v>74</v>
      </c>
      <c r="C21" s="9" t="n">
        <v>2</v>
      </c>
      <c r="D21" s="10" t="s">
        <v>24</v>
      </c>
      <c r="E21" s="11" t="s">
        <v>78</v>
      </c>
      <c r="F21" s="10" t="s">
        <v>26</v>
      </c>
      <c r="G21" s="10" t="s">
        <v>27</v>
      </c>
      <c r="H21" s="10" t="s">
        <v>28</v>
      </c>
      <c r="I21" s="12" t="s">
        <v>79</v>
      </c>
      <c r="J21" s="13" t="str">
        <f aca="false">IFERROR(INDEX(Combattants!$E$2:$E$200,MATCH(I21,Combattants!$A$2:$A$200,0)),"")</f>
        <v>FAK</v>
      </c>
      <c r="K21" s="14" t="s">
        <v>80</v>
      </c>
      <c r="L21" s="13" t="str">
        <f aca="false">IFERROR(INDEX(Combattants!$E$2:$E$200,MATCH(K21,Combattants!$A$2:$A$200,0)),"")</f>
        <v>MAN</v>
      </c>
      <c r="M21" s="9" t="s">
        <v>31</v>
      </c>
      <c r="N21" s="9"/>
      <c r="O21" s="13" t="str">
        <f aca="false">IF(N21="Rouge",I21,IF(N21="Bleu",K21,IF(N21="Nul","Match nul","")))</f>
        <v/>
      </c>
      <c r="P21" s="9"/>
      <c r="Q21" s="9"/>
      <c r="R21" s="11"/>
    </row>
    <row r="22" customFormat="false" ht="15" hidden="false" customHeight="false" outlineLevel="0" collapsed="false">
      <c r="A22" s="9" t="n">
        <v>17</v>
      </c>
      <c r="B22" s="9" t="s">
        <v>81</v>
      </c>
      <c r="C22" s="9" t="n">
        <v>1</v>
      </c>
      <c r="D22" s="10" t="s">
        <v>24</v>
      </c>
      <c r="E22" s="11" t="s">
        <v>82</v>
      </c>
      <c r="F22" s="10" t="s">
        <v>26</v>
      </c>
      <c r="G22" s="10" t="s">
        <v>27</v>
      </c>
      <c r="H22" s="10" t="s">
        <v>28</v>
      </c>
      <c r="I22" s="12" t="s">
        <v>83</v>
      </c>
      <c r="J22" s="13" t="str">
        <f aca="false">IFERROR(INDEX(Combattants!$E$2:$E$200,MATCH(I22,Combattants!$A$2:$A$200,0)),"")</f>
        <v>FUK</v>
      </c>
      <c r="K22" s="14" t="s">
        <v>84</v>
      </c>
      <c r="L22" s="13" t="str">
        <f aca="false">IFERROR(INDEX(Combattants!$E$2:$E$200,MATCH(K22,Combattants!$A$2:$A$200,0)),"")</f>
        <v>MAN</v>
      </c>
      <c r="M22" s="9" t="s">
        <v>31</v>
      </c>
      <c r="N22" s="9"/>
      <c r="O22" s="13" t="str">
        <f aca="false">IF(N22="Rouge",I22,IF(N22="Bleu",K22,IF(N22="Nul","Match nul","")))</f>
        <v/>
      </c>
      <c r="P22" s="9"/>
      <c r="Q22" s="9"/>
      <c r="R22" s="11"/>
    </row>
    <row r="23" customFormat="false" ht="15" hidden="false" customHeight="false" outlineLevel="0" collapsed="false">
      <c r="A23" s="9" t="n">
        <v>18</v>
      </c>
      <c r="B23" s="9" t="s">
        <v>81</v>
      </c>
      <c r="C23" s="9" t="n">
        <v>2</v>
      </c>
      <c r="D23" s="10" t="s">
        <v>24</v>
      </c>
      <c r="E23" s="11" t="s">
        <v>85</v>
      </c>
      <c r="F23" s="10" t="s">
        <v>26</v>
      </c>
      <c r="G23" s="10" t="s">
        <v>27</v>
      </c>
      <c r="H23" s="10" t="s">
        <v>28</v>
      </c>
      <c r="I23" s="12" t="s">
        <v>86</v>
      </c>
      <c r="J23" s="13" t="str">
        <f aca="false">IFERROR(INDEX(Combattants!$E$2:$E$200,MATCH(I23,Combattants!$A$2:$A$200,0)),"")</f>
        <v>FUK</v>
      </c>
      <c r="K23" s="14" t="s">
        <v>87</v>
      </c>
      <c r="L23" s="13" t="str">
        <f aca="false">IFERROR(INDEX(Combattants!$E$2:$E$200,MATCH(K23,Combattants!$A$2:$A$200,0)),"")</f>
        <v>MAN</v>
      </c>
      <c r="M23" s="9" t="s">
        <v>31</v>
      </c>
      <c r="N23" s="9"/>
      <c r="O23" s="13" t="str">
        <f aca="false">IF(N23="Rouge",I23,IF(N23="Bleu",K23,IF(N23="Nul","Match nul","")))</f>
        <v/>
      </c>
      <c r="P23" s="9"/>
      <c r="Q23" s="9"/>
      <c r="R23" s="11"/>
    </row>
    <row r="24" customFormat="false" ht="15" hidden="false" customHeight="false" outlineLevel="0" collapsed="false">
      <c r="A24" s="9" t="n">
        <v>19</v>
      </c>
      <c r="B24" s="9" t="s">
        <v>88</v>
      </c>
      <c r="C24" s="9" t="n">
        <v>1</v>
      </c>
      <c r="D24" s="10" t="s">
        <v>24</v>
      </c>
      <c r="E24" s="11" t="s">
        <v>89</v>
      </c>
      <c r="F24" s="10" t="s">
        <v>44</v>
      </c>
      <c r="G24" s="10" t="s">
        <v>27</v>
      </c>
      <c r="H24" s="10" t="s">
        <v>28</v>
      </c>
      <c r="I24" s="12" t="s">
        <v>90</v>
      </c>
      <c r="J24" s="13" t="str">
        <f aca="false">IFERROR(INDEX(Combattants!$E$2:$E$200,MATCH(I24,Combattants!$A$2:$A$200,0)),"")</f>
        <v>MAN</v>
      </c>
      <c r="K24" s="14" t="s">
        <v>91</v>
      </c>
      <c r="L24" s="13" t="str">
        <f aca="false">IFERROR(INDEX(Combattants!$E$2:$E$200,MATCH(K24,Combattants!$A$2:$A$200,0)),"")</f>
        <v>FAK</v>
      </c>
      <c r="M24" s="9" t="s">
        <v>31</v>
      </c>
      <c r="N24" s="9"/>
      <c r="O24" s="13" t="str">
        <f aca="false">IF(N24="Rouge",I24,IF(N24="Bleu",K24,IF(N24="Nul","Match nul","")))</f>
        <v/>
      </c>
      <c r="P24" s="9"/>
      <c r="Q24" s="9"/>
      <c r="R24" s="11"/>
    </row>
    <row r="25" customFormat="false" ht="15" hidden="false" customHeight="false" outlineLevel="0" collapsed="false">
      <c r="A25" s="9" t="n">
        <v>20</v>
      </c>
      <c r="B25" s="9" t="s">
        <v>92</v>
      </c>
      <c r="C25" s="9" t="n">
        <v>1</v>
      </c>
      <c r="D25" s="10" t="s">
        <v>93</v>
      </c>
      <c r="E25" s="11" t="s">
        <v>94</v>
      </c>
      <c r="F25" s="10" t="s">
        <v>26</v>
      </c>
      <c r="G25" s="10" t="s">
        <v>27</v>
      </c>
      <c r="H25" s="10" t="s">
        <v>95</v>
      </c>
      <c r="I25" s="12" t="s">
        <v>96</v>
      </c>
      <c r="J25" s="13" t="str">
        <f aca="false">IFERROR(INDEX(Combattants!$E$2:$E$200,MATCH(I25,Combattants!$A$2:$A$200,0)),"")</f>
        <v>SHO</v>
      </c>
      <c r="K25" s="14" t="s">
        <v>97</v>
      </c>
      <c r="L25" s="13" t="str">
        <f aca="false">IFERROR(INDEX(Combattants!$E$2:$E$200,MATCH(K25,Combattants!$A$2:$A$200,0)),"")</f>
        <v>SHO</v>
      </c>
      <c r="M25" s="9" t="s">
        <v>31</v>
      </c>
      <c r="N25" s="9"/>
      <c r="O25" s="13" t="str">
        <f aca="false">IF(N25="Rouge",I25,IF(N25="Bleu",K25,IF(N25="Nul","Match nul","")))</f>
        <v/>
      </c>
      <c r="P25" s="9"/>
      <c r="Q25" s="9"/>
      <c r="R25" s="11"/>
    </row>
    <row r="26" customFormat="false" ht="15" hidden="false" customHeight="false" outlineLevel="0" collapsed="false">
      <c r="A26" s="9" t="n">
        <v>21</v>
      </c>
      <c r="B26" s="9" t="s">
        <v>92</v>
      </c>
      <c r="C26" s="9" t="n">
        <v>2</v>
      </c>
      <c r="D26" s="10" t="s">
        <v>93</v>
      </c>
      <c r="E26" s="11" t="s">
        <v>98</v>
      </c>
      <c r="F26" s="10" t="s">
        <v>26</v>
      </c>
      <c r="G26" s="10" t="s">
        <v>99</v>
      </c>
      <c r="H26" s="10" t="s">
        <v>95</v>
      </c>
      <c r="I26" s="12" t="s">
        <v>100</v>
      </c>
      <c r="J26" s="13" t="str">
        <f aca="false">IFERROR(INDEX(Combattants!$E$2:$E$200,MATCH(I26,Combattants!$A$2:$A$200,0)),"")</f>
        <v>SHO</v>
      </c>
      <c r="K26" s="14" t="s">
        <v>101</v>
      </c>
      <c r="L26" s="13" t="str">
        <f aca="false">IFERROR(INDEX(Combattants!$E$2:$E$200,MATCH(K26,Combattants!$A$2:$A$200,0)),"")</f>
        <v>SHO</v>
      </c>
      <c r="M26" s="9" t="s">
        <v>31</v>
      </c>
      <c r="N26" s="9"/>
      <c r="O26" s="13" t="str">
        <f aca="false">IF(N26="Rouge",I26,IF(N26="Bleu",K26,IF(N26="Nul","Match nul","")))</f>
        <v/>
      </c>
      <c r="P26" s="9"/>
      <c r="Q26" s="9"/>
      <c r="R26" s="11"/>
    </row>
    <row r="27" customFormat="false" ht="15" hidden="false" customHeight="false" outlineLevel="0" collapsed="false">
      <c r="A27" s="9" t="n">
        <v>22</v>
      </c>
      <c r="B27" s="9" t="s">
        <v>102</v>
      </c>
      <c r="C27" s="9" t="n">
        <v>1</v>
      </c>
      <c r="D27" s="10" t="s">
        <v>93</v>
      </c>
      <c r="E27" s="11" t="s">
        <v>103</v>
      </c>
      <c r="F27" s="10" t="s">
        <v>26</v>
      </c>
      <c r="G27" s="10" t="s">
        <v>45</v>
      </c>
      <c r="H27" s="10" t="s">
        <v>95</v>
      </c>
      <c r="I27" s="12" t="s">
        <v>104</v>
      </c>
      <c r="J27" s="13" t="str">
        <f aca="false">IFERROR(INDEX(Combattants!$E$2:$E$200,MATCH(I27,Combattants!$A$2:$A$200,0)),"")</f>
        <v>FAK</v>
      </c>
      <c r="K27" s="14" t="s">
        <v>105</v>
      </c>
      <c r="L27" s="13" t="str">
        <f aca="false">IFERROR(INDEX(Combattants!$E$2:$E$200,MATCH(K27,Combattants!$A$2:$A$200,0)),"")</f>
        <v>MAN</v>
      </c>
      <c r="M27" s="9" t="s">
        <v>31</v>
      </c>
      <c r="N27" s="9"/>
      <c r="O27" s="13" t="str">
        <f aca="false">IF(N27="Rouge",I27,IF(N27="Bleu",K27,IF(N27="Nul","Match nul","")))</f>
        <v/>
      </c>
      <c r="P27" s="9"/>
      <c r="Q27" s="9"/>
      <c r="R27" s="11"/>
    </row>
    <row r="28" customFormat="false" ht="15" hidden="false" customHeight="false" outlineLevel="0" collapsed="false">
      <c r="A28" s="9" t="n">
        <v>23</v>
      </c>
      <c r="B28" s="9" t="s">
        <v>102</v>
      </c>
      <c r="C28" s="9" t="n">
        <v>2</v>
      </c>
      <c r="D28" s="10" t="s">
        <v>93</v>
      </c>
      <c r="E28" s="11" t="s">
        <v>106</v>
      </c>
      <c r="F28" s="10" t="s">
        <v>26</v>
      </c>
      <c r="G28" s="10" t="s">
        <v>27</v>
      </c>
      <c r="H28" s="10" t="s">
        <v>95</v>
      </c>
      <c r="I28" s="12" t="s">
        <v>107</v>
      </c>
      <c r="J28" s="13" t="str">
        <f aca="false">IFERROR(INDEX(Combattants!$E$2:$E$200,MATCH(I28,Combattants!$A$2:$A$200,0)),"")</f>
        <v>FUK</v>
      </c>
      <c r="K28" s="14" t="s">
        <v>108</v>
      </c>
      <c r="L28" s="13" t="str">
        <f aca="false">IFERROR(INDEX(Combattants!$E$2:$E$200,MATCH(K28,Combattants!$A$2:$A$200,0)),"")</f>
        <v>SHO</v>
      </c>
      <c r="M28" s="9" t="s">
        <v>31</v>
      </c>
      <c r="N28" s="9"/>
      <c r="O28" s="13" t="str">
        <f aca="false">IF(N28="Rouge",I28,IF(N28="Bleu",K28,IF(N28="Nul","Match nul","")))</f>
        <v/>
      </c>
      <c r="P28" s="9"/>
      <c r="Q28" s="9"/>
      <c r="R28" s="11"/>
    </row>
    <row r="29" customFormat="false" ht="15" hidden="false" customHeight="false" outlineLevel="0" collapsed="false">
      <c r="A29" s="9" t="n">
        <v>24</v>
      </c>
      <c r="B29" s="9" t="s">
        <v>109</v>
      </c>
      <c r="C29" s="9" t="n">
        <v>1</v>
      </c>
      <c r="D29" s="10" t="s">
        <v>93</v>
      </c>
      <c r="E29" s="11" t="s">
        <v>110</v>
      </c>
      <c r="F29" s="10" t="s">
        <v>26</v>
      </c>
      <c r="G29" s="10" t="s">
        <v>99</v>
      </c>
      <c r="H29" s="10" t="s">
        <v>95</v>
      </c>
      <c r="I29" s="12" t="s">
        <v>111</v>
      </c>
      <c r="J29" s="13" t="str">
        <f aca="false">IFERROR(INDEX(Combattants!$E$2:$E$200,MATCH(I29,Combattants!$A$2:$A$200,0)),"")</f>
        <v>SHO</v>
      </c>
      <c r="K29" s="14" t="s">
        <v>112</v>
      </c>
      <c r="L29" s="13" t="str">
        <f aca="false">IFERROR(INDEX(Combattants!$E$2:$E$200,MATCH(K29,Combattants!$A$2:$A$200,0)),"")</f>
        <v>MAN</v>
      </c>
      <c r="M29" s="9" t="s">
        <v>31</v>
      </c>
      <c r="N29" s="9"/>
      <c r="O29" s="13" t="str">
        <f aca="false">IF(N29="Rouge",I29,IF(N29="Bleu",K29,IF(N29="Nul","Match nul","")))</f>
        <v/>
      </c>
      <c r="P29" s="9"/>
      <c r="Q29" s="9"/>
      <c r="R29" s="11" t="s">
        <v>113</v>
      </c>
    </row>
    <row r="30" customFormat="false" ht="15" hidden="false" customHeight="false" outlineLevel="0" collapsed="false">
      <c r="A30" s="9" t="n">
        <v>25</v>
      </c>
      <c r="B30" s="9" t="s">
        <v>109</v>
      </c>
      <c r="C30" s="9" t="n">
        <v>2</v>
      </c>
      <c r="D30" s="10" t="s">
        <v>93</v>
      </c>
      <c r="E30" s="11" t="s">
        <v>114</v>
      </c>
      <c r="F30" s="10" t="s">
        <v>26</v>
      </c>
      <c r="G30" s="10" t="s">
        <v>27</v>
      </c>
      <c r="H30" s="10" t="s">
        <v>95</v>
      </c>
      <c r="I30" s="12" t="s">
        <v>115</v>
      </c>
      <c r="J30" s="13" t="str">
        <f aca="false">IFERROR(INDEX(Combattants!$E$2:$E$200,MATCH(I30,Combattants!$A$2:$A$200,0)),"")</f>
        <v>FUK</v>
      </c>
      <c r="K30" s="14" t="s">
        <v>116</v>
      </c>
      <c r="L30" s="13" t="str">
        <f aca="false">IFERROR(INDEX(Combattants!$E$2:$E$200,MATCH(K30,Combattants!$A$2:$A$200,0)),"")</f>
        <v>MAN</v>
      </c>
      <c r="M30" s="9" t="s">
        <v>31</v>
      </c>
      <c r="N30" s="9"/>
      <c r="O30" s="13" t="str">
        <f aca="false">IF(N30="Rouge",I30,IF(N30="Bleu",K30,IF(N30="Nul","Match nul","")))</f>
        <v/>
      </c>
      <c r="P30" s="9"/>
      <c r="Q30" s="9"/>
      <c r="R30" s="11"/>
    </row>
    <row r="31" customFormat="false" ht="15" hidden="false" customHeight="false" outlineLevel="0" collapsed="false">
      <c r="A31" s="9" t="n">
        <v>26</v>
      </c>
      <c r="B31" s="9" t="s">
        <v>117</v>
      </c>
      <c r="C31" s="9" t="n">
        <v>1</v>
      </c>
      <c r="D31" s="10" t="s">
        <v>93</v>
      </c>
      <c r="E31" s="11" t="s">
        <v>118</v>
      </c>
      <c r="F31" s="10" t="s">
        <v>26</v>
      </c>
      <c r="G31" s="10" t="s">
        <v>27</v>
      </c>
      <c r="H31" s="10" t="s">
        <v>95</v>
      </c>
      <c r="I31" s="12" t="s">
        <v>105</v>
      </c>
      <c r="J31" s="13" t="str">
        <f aca="false">IFERROR(INDEX(Combattants!$E$2:$E$200,MATCH(I31,Combattants!$A$2:$A$200,0)),"")</f>
        <v>MAN</v>
      </c>
      <c r="K31" s="14" t="s">
        <v>119</v>
      </c>
      <c r="L31" s="13" t="str">
        <f aca="false">IFERROR(INDEX(Combattants!$E$2:$E$200,MATCH(K31,Combattants!$A$2:$A$200,0)),"")</f>
        <v>FAK</v>
      </c>
      <c r="M31" s="9" t="s">
        <v>31</v>
      </c>
      <c r="N31" s="9"/>
      <c r="O31" s="13" t="str">
        <f aca="false">IF(N31="Rouge",I31,IF(N31="Bleu",K31,IF(N31="Nul","Match nul","")))</f>
        <v/>
      </c>
      <c r="P31" s="9"/>
      <c r="Q31" s="9"/>
      <c r="R31" s="11"/>
    </row>
    <row r="32" customFormat="false" ht="15" hidden="false" customHeight="false" outlineLevel="0" collapsed="false">
      <c r="A32" s="9" t="n">
        <v>27</v>
      </c>
      <c r="B32" s="9" t="s">
        <v>117</v>
      </c>
      <c r="C32" s="9" t="n">
        <v>2</v>
      </c>
      <c r="D32" s="10" t="s">
        <v>93</v>
      </c>
      <c r="E32" s="11" t="s">
        <v>120</v>
      </c>
      <c r="F32" s="10" t="s">
        <v>26</v>
      </c>
      <c r="G32" s="10" t="s">
        <v>27</v>
      </c>
      <c r="H32" s="10" t="s">
        <v>95</v>
      </c>
      <c r="I32" s="12" t="s">
        <v>121</v>
      </c>
      <c r="J32" s="13" t="str">
        <f aca="false">IFERROR(INDEX(Combattants!$E$2:$E$200,MATCH(I32,Combattants!$A$2:$A$200,0)),"")</f>
        <v>FUK</v>
      </c>
      <c r="K32" s="14" t="s">
        <v>108</v>
      </c>
      <c r="L32" s="13" t="str">
        <f aca="false">IFERROR(INDEX(Combattants!$E$2:$E$200,MATCH(K32,Combattants!$A$2:$A$200,0)),"")</f>
        <v>SHO</v>
      </c>
      <c r="M32" s="9" t="s">
        <v>31</v>
      </c>
      <c r="N32" s="9"/>
      <c r="O32" s="13" t="str">
        <f aca="false">IF(N32="Rouge",I32,IF(N32="Bleu",K32,IF(N32="Nul","Match nul","")))</f>
        <v/>
      </c>
      <c r="P32" s="9"/>
      <c r="Q32" s="9"/>
      <c r="R32" s="11"/>
    </row>
    <row r="33" customFormat="false" ht="15" hidden="false" customHeight="false" outlineLevel="0" collapsed="false">
      <c r="A33" s="9" t="n">
        <v>28</v>
      </c>
      <c r="B33" s="9" t="s">
        <v>122</v>
      </c>
      <c r="C33" s="9" t="n">
        <v>1</v>
      </c>
      <c r="D33" s="10" t="s">
        <v>93</v>
      </c>
      <c r="E33" s="11" t="s">
        <v>123</v>
      </c>
      <c r="F33" s="10" t="s">
        <v>26</v>
      </c>
      <c r="G33" s="10" t="s">
        <v>27</v>
      </c>
      <c r="H33" s="10" t="s">
        <v>95</v>
      </c>
      <c r="I33" s="12" t="s">
        <v>116</v>
      </c>
      <c r="J33" s="13" t="str">
        <f aca="false">IFERROR(INDEX(Combattants!$E$2:$E$200,MATCH(I33,Combattants!$A$2:$A$200,0)),"")</f>
        <v>MAN</v>
      </c>
      <c r="K33" s="14" t="s">
        <v>124</v>
      </c>
      <c r="L33" s="13" t="str">
        <f aca="false">IFERROR(INDEX(Combattants!$E$2:$E$200,MATCH(K33,Combattants!$A$2:$A$200,0)),"")</f>
        <v>FUK</v>
      </c>
      <c r="M33" s="9" t="s">
        <v>31</v>
      </c>
      <c r="N33" s="9"/>
      <c r="O33" s="13" t="str">
        <f aca="false">IF(N33="Rouge",I33,IF(N33="Bleu",K33,IF(N33="Nul","Match nul","")))</f>
        <v/>
      </c>
      <c r="P33" s="9"/>
      <c r="Q33" s="9"/>
      <c r="R33" s="11" t="s">
        <v>125</v>
      </c>
    </row>
  </sheetData>
  <autoFilter ref="A5:R33"/>
  <conditionalFormatting sqref="A6:R200">
    <cfRule type="expression" priority="2" aboveAverage="0" equalAverage="0" bottom="0" percent="0" rank="0" text="" dxfId="10">
      <formula>$M6="Terminé"</formula>
    </cfRule>
    <cfRule type="expression" priority="3" aboveAverage="0" equalAverage="0" bottom="0" percent="0" rank="0" text="" dxfId="11">
      <formula>$M6="En cours"</formula>
    </cfRule>
  </conditionalFormatting>
  <conditionalFormatting sqref="A6:A200">
    <cfRule type="expression" priority="4" aboveAverage="0" equalAverage="0" bottom="0" percent="0" rank="0" text="" dxfId="12">
      <formula>$D6="Après-midi · Adultes"</formula>
    </cfRule>
    <cfRule type="expression" priority="5" aboveAverage="0" equalAverage="0" bottom="0" percent="0" rank="0" text="" dxfId="13">
      <formula>$D6="Matin · Enfants"</formula>
    </cfRule>
  </conditionalFormatting>
  <dataValidations count="8">
    <dataValidation allowBlank="true" errorStyle="stop" operator="between" showDropDown="false" showErrorMessage="true" showInputMessage="false" sqref="C6:C200" type="list">
      <formula1>"1,2"</formula1>
      <formula2>0</formula2>
    </dataValidation>
    <dataValidation allowBlank="true" errorStyle="stop" operator="between" showDropDown="false" showErrorMessage="true" showInputMessage="false" sqref="D6:D200" type="list">
      <formula1>"Matin · Enfants,Après-midi · Adultes"</formula1>
      <formula2>0</formula2>
    </dataValidation>
    <dataValidation allowBlank="true" errorStyle="stop" operator="between" showDropDown="false" showErrorMessage="true" showInputMessage="false" sqref="G6:G200" type="list">
      <formula1>"Karaté Shidokan,Shidoboxing,Shido-MMA,Grappling,Triathlon Shidokan,Kata"</formula1>
      <formula2>0</formula2>
    </dataValidation>
    <dataValidation allowBlank="true" errorStyle="information" operator="between" prompt="Choisissez un combattant, ou tapez un texte libre : Vainqueur 6, Fixé à la pesée…" promptTitle="Astuce" showDropDown="false" showErrorMessage="false" showInputMessage="true" sqref="I6:I200" type="list">
      <formula1>Combattants!$A$2:$A$200</formula1>
      <formula2>0</formula2>
    </dataValidation>
    <dataValidation allowBlank="true" errorStyle="information" operator="between" prompt="Choisissez un combattant, ou tapez un texte libre : Vainqueur 6, Fixé à la pesée…" promptTitle="Astuce" showDropDown="false" showErrorMessage="false" showInputMessage="true" sqref="K6:K200" type="list">
      <formula1>Combattants!$A$2:$A$200</formula1>
      <formula2>0</formula2>
    </dataValidation>
    <dataValidation allowBlank="true" errorStyle="stop" operator="between" showDropDown="false" showErrorMessage="true" showInputMessage="false" sqref="M6:M200" type="list">
      <formula1>"Prévu,En cours,Terminé"</formula1>
      <formula2>0</formula2>
    </dataValidation>
    <dataValidation allowBlank="true" errorStyle="stop" operator="between" showDropDown="false" showErrorMessage="true" showInputMessage="false" sqref="N6:N200" type="list">
      <formula1>"Rouge,Bleu,Nul"</formula1>
      <formula2>0</formula2>
    </dataValidation>
    <dataValidation allowBlank="true" errorStyle="stop" operator="between" showDropDown="false" showErrorMessage="true" showInputMessage="false" sqref="P6:P200" type="list">
      <formula1>"Décision,KO,Ippon,Wazari ×2,Soumission,Abandon,Arrêt de l'arbitre,Disqualification,Forfait"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</cols>
  <sheetData>
    <row r="1" customFormat="false" ht="15" hidden="false" customHeight="false" outlineLevel="0" collapsed="false">
      <c r="A1" s="16" t="s">
        <v>126</v>
      </c>
      <c r="B1" s="17" t="s">
        <v>127</v>
      </c>
    </row>
    <row r="2" customFormat="false" ht="15" hidden="false" customHeight="false" outlineLevel="0" collapsed="false">
      <c r="A2" s="16" t="s">
        <v>128</v>
      </c>
      <c r="B2" s="17" t="s">
        <v>129</v>
      </c>
    </row>
    <row r="3" customFormat="false" ht="15" hidden="false" customHeight="false" outlineLevel="0" collapsed="false">
      <c r="A3" s="16" t="s">
        <v>130</v>
      </c>
      <c r="B3" s="17" t="s">
        <v>131</v>
      </c>
    </row>
    <row r="4" customFormat="false" ht="15" hidden="false" customHeight="false" outlineLevel="0" collapsed="false">
      <c r="A4" s="16" t="s">
        <v>132</v>
      </c>
      <c r="B4" s="17" t="s">
        <v>133</v>
      </c>
    </row>
    <row r="5" customFormat="false" ht="15" hidden="false" customHeight="false" outlineLevel="0" collapsed="false">
      <c r="A5" s="16" t="s">
        <v>134</v>
      </c>
      <c r="B5" s="17" t="s">
        <v>135</v>
      </c>
    </row>
    <row r="6" customFormat="false" ht="15" hidden="false" customHeight="false" outlineLevel="0" collapsed="false">
      <c r="A6" s="16" t="s">
        <v>136</v>
      </c>
      <c r="B6" s="17" t="n">
        <v>2</v>
      </c>
    </row>
    <row r="7" customFormat="false" ht="15" hidden="false" customHeight="false" outlineLevel="0" collapsed="false">
      <c r="A7" s="16" t="s">
        <v>137</v>
      </c>
      <c r="B7" s="17" t="s">
        <v>138</v>
      </c>
    </row>
    <row r="9" customFormat="false" ht="15" hidden="false" customHeight="false" outlineLevel="0" collapsed="false">
      <c r="A9" s="18" t="s">
        <v>7</v>
      </c>
      <c r="B9" s="18" t="s">
        <v>139</v>
      </c>
    </row>
    <row r="10" customFormat="false" ht="15" hidden="false" customHeight="false" outlineLevel="0" collapsed="false">
      <c r="A10" s="19" t="s">
        <v>140</v>
      </c>
      <c r="B10" s="19" t="s">
        <v>141</v>
      </c>
    </row>
    <row r="11" customFormat="false" ht="15" hidden="false" customHeight="false" outlineLevel="0" collapsed="false">
      <c r="A11" s="19" t="s">
        <v>142</v>
      </c>
      <c r="B11" s="19" t="s">
        <v>143</v>
      </c>
    </row>
    <row r="12" customFormat="false" ht="15" hidden="false" customHeight="false" outlineLevel="0" collapsed="false">
      <c r="A12" s="19" t="s">
        <v>144</v>
      </c>
      <c r="B12" s="19" t="s">
        <v>145</v>
      </c>
    </row>
    <row r="13" customFormat="false" ht="15" hidden="false" customHeight="false" outlineLevel="0" collapsed="false">
      <c r="A13" s="19" t="s">
        <v>146</v>
      </c>
      <c r="B13" s="19" t="s">
        <v>147</v>
      </c>
    </row>
    <row r="14" customFormat="false" ht="15" hidden="false" customHeight="false" outlineLevel="0" collapsed="false">
      <c r="A14" s="19" t="s">
        <v>92</v>
      </c>
      <c r="B14" s="19" t="s">
        <v>148</v>
      </c>
    </row>
    <row r="15" customFormat="false" ht="15" hidden="false" customHeight="false" outlineLevel="0" collapsed="false">
      <c r="A15" s="19" t="s">
        <v>149</v>
      </c>
      <c r="B15" s="19" t="s">
        <v>150</v>
      </c>
    </row>
    <row r="17" customFormat="false" ht="15" hidden="false" customHeight="false" outlineLevel="0" collapsed="false">
      <c r="A17" s="5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7"/>
    <col collapsed="false" customWidth="true" hidden="false" outlineLevel="0" max="6" min="6" style="0" width="6"/>
    <col collapsed="false" customWidth="true" hidden="false" outlineLevel="0" max="8" min="7" style="0" width="15"/>
    <col collapsed="false" customWidth="true" hidden="false" outlineLevel="0" max="10" min="9" style="0" width="12"/>
    <col collapsed="false" customWidth="true" hidden="false" outlineLevel="0" max="11" min="11" style="0" width="22"/>
    <col collapsed="false" customWidth="true" hidden="false" outlineLevel="0" max="12" min="12" style="0" width="11"/>
    <col collapsed="false" customWidth="true" hidden="false" outlineLevel="0" max="13" min="13" style="0" width="40"/>
  </cols>
  <sheetData>
    <row r="1" customFormat="false" ht="26.85" hidden="false" customHeight="false" outlineLevel="0" collapsed="false">
      <c r="A1" s="6" t="s">
        <v>152</v>
      </c>
      <c r="B1" s="6" t="s">
        <v>153</v>
      </c>
      <c r="C1" s="6" t="s">
        <v>154</v>
      </c>
      <c r="D1" s="6" t="s">
        <v>15</v>
      </c>
      <c r="E1" s="6" t="s">
        <v>155</v>
      </c>
      <c r="F1" s="6" t="s">
        <v>156</v>
      </c>
      <c r="G1" s="6" t="s">
        <v>157</v>
      </c>
      <c r="H1" s="6" t="s">
        <v>158</v>
      </c>
      <c r="I1" s="6" t="s">
        <v>159</v>
      </c>
      <c r="J1" s="6" t="s">
        <v>160</v>
      </c>
      <c r="K1" s="6" t="s">
        <v>161</v>
      </c>
      <c r="L1" s="6" t="s">
        <v>162</v>
      </c>
      <c r="M1" s="6" t="s">
        <v>22</v>
      </c>
    </row>
    <row r="2" customFormat="false" ht="15" hidden="false" customHeight="false" outlineLevel="0" collapsed="false">
      <c r="A2" s="20" t="str">
        <f aca="false">TRIM(B2&amp;" "&amp;C2)</f>
        <v>Ethan ICAZE</v>
      </c>
      <c r="B2" s="19" t="s">
        <v>163</v>
      </c>
      <c r="C2" s="19" t="s">
        <v>164</v>
      </c>
      <c r="D2" s="19" t="s">
        <v>135</v>
      </c>
      <c r="E2" s="20" t="str">
        <f aca="false">IFERROR(INDEX(Clubs!$B$2:$B$20,MATCH(D2,Clubs!$A$2:$A$20,0)),"")</f>
        <v>FAK</v>
      </c>
      <c r="F2" s="19" t="s">
        <v>165</v>
      </c>
      <c r="G2" s="19" t="s">
        <v>166</v>
      </c>
      <c r="H2" s="19"/>
      <c r="I2" s="19"/>
      <c r="J2" s="19"/>
      <c r="K2" s="19" t="s">
        <v>27</v>
      </c>
      <c r="L2" s="21" t="n">
        <f aca="false">COUNTIF('Fight card'!$I$6:$I$200,A2)+COUNTIF('Fight card'!$K$6:$K$200,A2)</f>
        <v>1</v>
      </c>
      <c r="M2" s="19"/>
    </row>
    <row r="3" customFormat="false" ht="15" hidden="false" customHeight="false" outlineLevel="0" collapsed="false">
      <c r="A3" s="20" t="str">
        <f aca="false">TRIM(B3&amp;" "&amp;C3)</f>
        <v>Jonathan BOYER</v>
      </c>
      <c r="B3" s="19" t="s">
        <v>167</v>
      </c>
      <c r="C3" s="19" t="s">
        <v>168</v>
      </c>
      <c r="D3" s="19" t="s">
        <v>135</v>
      </c>
      <c r="E3" s="20" t="str">
        <f aca="false">IFERROR(INDEX(Clubs!$B$2:$B$20,MATCH(D3,Clubs!$A$2:$A$20,0)),"")</f>
        <v>FAK</v>
      </c>
      <c r="F3" s="19" t="s">
        <v>165</v>
      </c>
      <c r="G3" s="19"/>
      <c r="H3" s="19"/>
      <c r="I3" s="19" t="n">
        <v>66</v>
      </c>
      <c r="J3" s="19"/>
      <c r="K3" s="19" t="s">
        <v>27</v>
      </c>
      <c r="L3" s="21" t="n">
        <f aca="false">COUNTIF('Fight card'!$I$6:$I$200,A3)+COUNTIF('Fight card'!$K$6:$K$200,A3)</f>
        <v>1</v>
      </c>
      <c r="M3" s="19"/>
    </row>
    <row r="4" customFormat="false" ht="15" hidden="false" customHeight="false" outlineLevel="0" collapsed="false">
      <c r="A4" s="20" t="str">
        <f aca="false">TRIM(B4&amp;" "&amp;C4)</f>
        <v>Keo ZAMBERNARDI</v>
      </c>
      <c r="B4" s="19" t="s">
        <v>169</v>
      </c>
      <c r="C4" s="19" t="s">
        <v>170</v>
      </c>
      <c r="D4" s="19" t="s">
        <v>135</v>
      </c>
      <c r="E4" s="20" t="str">
        <f aca="false">IFERROR(INDEX(Clubs!$B$2:$B$20,MATCH(D4,Clubs!$A$2:$A$20,0)),"")</f>
        <v>FAK</v>
      </c>
      <c r="F4" s="19" t="s">
        <v>165</v>
      </c>
      <c r="G4" s="19"/>
      <c r="H4" s="19"/>
      <c r="I4" s="19" t="n">
        <v>56</v>
      </c>
      <c r="J4" s="19"/>
      <c r="K4" s="19" t="s">
        <v>45</v>
      </c>
      <c r="L4" s="21" t="n">
        <f aca="false">COUNTIF('Fight card'!$I$6:$I$200,A4)+COUNTIF('Fight card'!$K$6:$K$200,A4)</f>
        <v>1</v>
      </c>
      <c r="M4" s="19"/>
    </row>
    <row r="5" customFormat="false" ht="15" hidden="false" customHeight="false" outlineLevel="0" collapsed="false">
      <c r="A5" s="20" t="str">
        <f aca="false">TRIM(B5&amp;" "&amp;C5)</f>
        <v>Lorentz PAYET</v>
      </c>
      <c r="B5" s="19" t="s">
        <v>171</v>
      </c>
      <c r="C5" s="19" t="s">
        <v>172</v>
      </c>
      <c r="D5" s="19" t="s">
        <v>135</v>
      </c>
      <c r="E5" s="20" t="str">
        <f aca="false">IFERROR(INDEX(Clubs!$B$2:$B$20,MATCH(D5,Clubs!$A$2:$A$20,0)),"")</f>
        <v>FAK</v>
      </c>
      <c r="F5" s="19" t="s">
        <v>165</v>
      </c>
      <c r="G5" s="19" t="s">
        <v>173</v>
      </c>
      <c r="H5" s="19"/>
      <c r="I5" s="19" t="n">
        <v>35</v>
      </c>
      <c r="J5" s="19"/>
      <c r="K5" s="19" t="s">
        <v>27</v>
      </c>
      <c r="L5" s="21" t="n">
        <f aca="false">COUNTIF('Fight card'!$I$6:$I$200,A5)+COUNTIF('Fight card'!$K$6:$K$200,A5)</f>
        <v>1</v>
      </c>
      <c r="M5" s="19"/>
    </row>
    <row r="6" customFormat="false" ht="15" hidden="false" customHeight="false" outlineLevel="0" collapsed="false">
      <c r="A6" s="20" t="str">
        <f aca="false">TRIM(B6&amp;" "&amp;C6)</f>
        <v>Melina FOLIO</v>
      </c>
      <c r="B6" s="19" t="s">
        <v>174</v>
      </c>
      <c r="C6" s="19" t="s">
        <v>175</v>
      </c>
      <c r="D6" s="19" t="s">
        <v>135</v>
      </c>
      <c r="E6" s="20" t="str">
        <f aca="false">IFERROR(INDEX(Clubs!$B$2:$B$20,MATCH(D6,Clubs!$A$2:$A$20,0)),"")</f>
        <v>FAK</v>
      </c>
      <c r="F6" s="19" t="s">
        <v>176</v>
      </c>
      <c r="G6" s="19" t="s">
        <v>177</v>
      </c>
      <c r="H6" s="19"/>
      <c r="I6" s="19" t="n">
        <v>38</v>
      </c>
      <c r="J6" s="19"/>
      <c r="K6" s="19" t="s">
        <v>27</v>
      </c>
      <c r="L6" s="21" t="n">
        <f aca="false">COUNTIF('Fight card'!$I$6:$I$200,A6)+COUNTIF('Fight card'!$K$6:$K$200,A6)</f>
        <v>1</v>
      </c>
      <c r="M6" s="19" t="s">
        <v>178</v>
      </c>
    </row>
    <row r="7" customFormat="false" ht="15" hidden="false" customHeight="false" outlineLevel="0" collapsed="false">
      <c r="A7" s="20" t="str">
        <f aca="false">TRIM(B7&amp;" "&amp;C7)</f>
        <v>Mike MIKE</v>
      </c>
      <c r="B7" s="19" t="s">
        <v>179</v>
      </c>
      <c r="C7" s="19" t="s">
        <v>180</v>
      </c>
      <c r="D7" s="19" t="s">
        <v>135</v>
      </c>
      <c r="E7" s="20" t="str">
        <f aca="false">IFERROR(INDEX(Clubs!$B$2:$B$20,MATCH(D7,Clubs!$A$2:$A$20,0)),"")</f>
        <v>FAK</v>
      </c>
      <c r="F7" s="19" t="s">
        <v>165</v>
      </c>
      <c r="G7" s="19" t="s">
        <v>181</v>
      </c>
      <c r="H7" s="19" t="s">
        <v>182</v>
      </c>
      <c r="I7" s="19" t="n">
        <v>59</v>
      </c>
      <c r="J7" s="19"/>
      <c r="K7" s="19" t="s">
        <v>45</v>
      </c>
      <c r="L7" s="21" t="n">
        <f aca="false">COUNTIF('Fight card'!$I$6:$I$200,A7)+COUNTIF('Fight card'!$K$6:$K$200,A7)</f>
        <v>1</v>
      </c>
      <c r="M7" s="19"/>
    </row>
    <row r="8" customFormat="false" ht="15" hidden="false" customHeight="false" outlineLevel="0" collapsed="false">
      <c r="A8" s="20" t="str">
        <f aca="false">TRIM(B8&amp;" "&amp;C8)</f>
        <v>NOA ZAMBERNARDI</v>
      </c>
      <c r="B8" s="19" t="s">
        <v>183</v>
      </c>
      <c r="C8" s="19" t="s">
        <v>170</v>
      </c>
      <c r="D8" s="19" t="s">
        <v>135</v>
      </c>
      <c r="E8" s="20" t="str">
        <f aca="false">IFERROR(INDEX(Clubs!$B$2:$B$20,MATCH(D8,Clubs!$A$2:$A$20,0)),"")</f>
        <v>FAK</v>
      </c>
      <c r="F8" s="19" t="s">
        <v>165</v>
      </c>
      <c r="G8" s="19"/>
      <c r="H8" s="19"/>
      <c r="I8" s="19" t="n">
        <v>37</v>
      </c>
      <c r="J8" s="19"/>
      <c r="K8" s="19" t="s">
        <v>99</v>
      </c>
      <c r="L8" s="21" t="n">
        <f aca="false">COUNTIF('Fight card'!$I$6:$I$200,A8)+COUNTIF('Fight card'!$K$6:$K$200,A8)</f>
        <v>1</v>
      </c>
      <c r="M8" s="19"/>
    </row>
    <row r="9" customFormat="false" ht="15" hidden="false" customHeight="false" outlineLevel="0" collapsed="false">
      <c r="A9" s="20" t="str">
        <f aca="false">TRIM(B9&amp;" "&amp;C9)</f>
        <v>Raphaël FRAYNAL</v>
      </c>
      <c r="B9" s="19" t="s">
        <v>184</v>
      </c>
      <c r="C9" s="19" t="s">
        <v>185</v>
      </c>
      <c r="D9" s="19" t="s">
        <v>135</v>
      </c>
      <c r="E9" s="20" t="str">
        <f aca="false">IFERROR(INDEX(Clubs!$B$2:$B$20,MATCH(D9,Clubs!$A$2:$A$20,0)),"")</f>
        <v>FAK</v>
      </c>
      <c r="F9" s="19" t="s">
        <v>165</v>
      </c>
      <c r="G9" s="19" t="s">
        <v>173</v>
      </c>
      <c r="H9" s="19"/>
      <c r="I9" s="19" t="n">
        <v>24.1</v>
      </c>
      <c r="J9" s="19"/>
      <c r="K9" s="19" t="s">
        <v>27</v>
      </c>
      <c r="L9" s="21" t="n">
        <f aca="false">COUNTIF('Fight card'!$I$6:$I$200,A9)+COUNTIF('Fight card'!$K$6:$K$200,A9)</f>
        <v>1</v>
      </c>
      <c r="M9" s="19"/>
    </row>
    <row r="10" customFormat="false" ht="15" hidden="false" customHeight="false" outlineLevel="0" collapsed="false">
      <c r="A10" s="20" t="str">
        <f aca="false">TRIM(B10&amp;" "&amp;C10)</f>
        <v>AXEL DUHOU</v>
      </c>
      <c r="B10" s="19" t="s">
        <v>186</v>
      </c>
      <c r="C10" s="19" t="s">
        <v>187</v>
      </c>
      <c r="D10" s="19" t="s">
        <v>188</v>
      </c>
      <c r="E10" s="20" t="str">
        <f aca="false">IFERROR(INDEX(Clubs!$B$2:$B$20,MATCH(D10,Clubs!$A$2:$A$20,0)),"")</f>
        <v>FUK</v>
      </c>
      <c r="F10" s="19" t="s">
        <v>165</v>
      </c>
      <c r="G10" s="19"/>
      <c r="H10" s="19"/>
      <c r="I10" s="19" t="n">
        <v>36.5</v>
      </c>
      <c r="J10" s="19"/>
      <c r="K10" s="19" t="s">
        <v>27</v>
      </c>
      <c r="L10" s="21" t="n">
        <f aca="false">COUNTIF('Fight card'!$I$6:$I$200,A10)+COUNTIF('Fight card'!$K$6:$K$200,A10)</f>
        <v>1</v>
      </c>
      <c r="M10" s="19"/>
    </row>
    <row r="11" customFormat="false" ht="15" hidden="false" customHeight="false" outlineLevel="0" collapsed="false">
      <c r="A11" s="20" t="str">
        <f aca="false">TRIM(B11&amp;" "&amp;C11)</f>
        <v>Basile ABEL</v>
      </c>
      <c r="B11" s="19" t="s">
        <v>189</v>
      </c>
      <c r="C11" s="19" t="s">
        <v>190</v>
      </c>
      <c r="D11" s="19" t="s">
        <v>188</v>
      </c>
      <c r="E11" s="20" t="str">
        <f aca="false">IFERROR(INDEX(Clubs!$B$2:$B$20,MATCH(D11,Clubs!$A$2:$A$20,0)),"")</f>
        <v>FUK</v>
      </c>
      <c r="F11" s="19" t="s">
        <v>165</v>
      </c>
      <c r="G11" s="19" t="s">
        <v>177</v>
      </c>
      <c r="H11" s="19"/>
      <c r="I11" s="19" t="n">
        <v>34</v>
      </c>
      <c r="J11" s="19"/>
      <c r="K11" s="19" t="s">
        <v>27</v>
      </c>
      <c r="L11" s="21" t="n">
        <f aca="false">COUNTIF('Fight card'!$I$6:$I$200,A11)+COUNTIF('Fight card'!$K$6:$K$200,A11)</f>
        <v>1</v>
      </c>
      <c r="M11" s="19"/>
    </row>
    <row r="12" customFormat="false" ht="15" hidden="false" customHeight="false" outlineLevel="0" collapsed="false">
      <c r="A12" s="20" t="str">
        <f aca="false">TRIM(B12&amp;" "&amp;C12)</f>
        <v>Benjamin LEGRAND</v>
      </c>
      <c r="B12" s="19" t="s">
        <v>191</v>
      </c>
      <c r="C12" s="19" t="s">
        <v>192</v>
      </c>
      <c r="D12" s="19" t="s">
        <v>188</v>
      </c>
      <c r="E12" s="20" t="str">
        <f aca="false">IFERROR(INDEX(Clubs!$B$2:$B$20,MATCH(D12,Clubs!$A$2:$A$20,0)),"")</f>
        <v>FUK</v>
      </c>
      <c r="F12" s="19" t="s">
        <v>165</v>
      </c>
      <c r="G12" s="19" t="s">
        <v>173</v>
      </c>
      <c r="H12" s="19"/>
      <c r="I12" s="19" t="n">
        <v>41.5</v>
      </c>
      <c r="J12" s="19"/>
      <c r="K12" s="19" t="s">
        <v>27</v>
      </c>
      <c r="L12" s="21" t="n">
        <f aca="false">COUNTIF('Fight card'!$I$6:$I$200,A12)+COUNTIF('Fight card'!$K$6:$K$200,A12)</f>
        <v>1</v>
      </c>
      <c r="M12" s="19"/>
    </row>
    <row r="13" customFormat="false" ht="15" hidden="false" customHeight="false" outlineLevel="0" collapsed="false">
      <c r="A13" s="20" t="str">
        <f aca="false">TRIM(B13&amp;" "&amp;C13)</f>
        <v>Bilal SALIMA</v>
      </c>
      <c r="B13" s="19" t="s">
        <v>193</v>
      </c>
      <c r="C13" s="19" t="s">
        <v>194</v>
      </c>
      <c r="D13" s="19" t="s">
        <v>188</v>
      </c>
      <c r="E13" s="20" t="str">
        <f aca="false">IFERROR(INDEX(Clubs!$B$2:$B$20,MATCH(D13,Clubs!$A$2:$A$20,0)),"")</f>
        <v>FUK</v>
      </c>
      <c r="F13" s="19" t="s">
        <v>165</v>
      </c>
      <c r="G13" s="19" t="s">
        <v>195</v>
      </c>
      <c r="H13" s="19"/>
      <c r="I13" s="19" t="n">
        <v>62</v>
      </c>
      <c r="J13" s="19"/>
      <c r="K13" s="19" t="s">
        <v>27</v>
      </c>
      <c r="L13" s="21" t="n">
        <f aca="false">COUNTIF('Fight card'!$I$6:$I$200,A13)+COUNTIF('Fight card'!$K$6:$K$200,A13)</f>
        <v>1</v>
      </c>
      <c r="M13" s="19"/>
    </row>
    <row r="14" customFormat="false" ht="15" hidden="false" customHeight="false" outlineLevel="0" collapsed="false">
      <c r="A14" s="20" t="str">
        <f aca="false">TRIM(B14&amp;" "&amp;C14)</f>
        <v>Camilya BACAR</v>
      </c>
      <c r="B14" s="19" t="s">
        <v>196</v>
      </c>
      <c r="C14" s="19" t="s">
        <v>197</v>
      </c>
      <c r="D14" s="19" t="s">
        <v>188</v>
      </c>
      <c r="E14" s="20" t="str">
        <f aca="false">IFERROR(INDEX(Clubs!$B$2:$B$20,MATCH(D14,Clubs!$A$2:$A$20,0)),"")</f>
        <v>FUK</v>
      </c>
      <c r="F14" s="19" t="s">
        <v>176</v>
      </c>
      <c r="G14" s="19" t="s">
        <v>198</v>
      </c>
      <c r="H14" s="19"/>
      <c r="I14" s="19" t="n">
        <v>24</v>
      </c>
      <c r="J14" s="19"/>
      <c r="K14" s="19" t="s">
        <v>27</v>
      </c>
      <c r="L14" s="21" t="n">
        <f aca="false">COUNTIF('Fight card'!$I$6:$I$200,A14)+COUNTIF('Fight card'!$K$6:$K$200,A14)</f>
        <v>1</v>
      </c>
      <c r="M14" s="19"/>
    </row>
    <row r="15" customFormat="false" ht="15" hidden="false" customHeight="false" outlineLevel="0" collapsed="false">
      <c r="A15" s="20" t="str">
        <f aca="false">TRIM(B15&amp;" "&amp;C15)</f>
        <v>Clément DELMAS</v>
      </c>
      <c r="B15" s="19" t="s">
        <v>199</v>
      </c>
      <c r="C15" s="19" t="s">
        <v>200</v>
      </c>
      <c r="D15" s="19" t="s">
        <v>188</v>
      </c>
      <c r="E15" s="20" t="str">
        <f aca="false">IFERROR(INDEX(Clubs!$B$2:$B$20,MATCH(D15,Clubs!$A$2:$A$20,0)),"")</f>
        <v>FUK</v>
      </c>
      <c r="F15" s="19" t="s">
        <v>165</v>
      </c>
      <c r="G15" s="19" t="s">
        <v>181</v>
      </c>
      <c r="H15" s="19"/>
      <c r="I15" s="19" t="n">
        <v>98</v>
      </c>
      <c r="J15" s="19"/>
      <c r="K15" s="19" t="s">
        <v>27</v>
      </c>
      <c r="L15" s="21" t="n">
        <f aca="false">COUNTIF('Fight card'!$I$6:$I$200,A15)+COUNTIF('Fight card'!$K$6:$K$200,A15)</f>
        <v>1</v>
      </c>
      <c r="M15" s="19" t="s">
        <v>201</v>
      </c>
    </row>
    <row r="16" customFormat="false" ht="15" hidden="false" customHeight="false" outlineLevel="0" collapsed="false">
      <c r="A16" s="20" t="str">
        <f aca="false">TRIM(B16&amp;" "&amp;C16)</f>
        <v>EDEN BOYER</v>
      </c>
      <c r="B16" s="19" t="s">
        <v>202</v>
      </c>
      <c r="C16" s="19" t="s">
        <v>168</v>
      </c>
      <c r="D16" s="19" t="s">
        <v>188</v>
      </c>
      <c r="E16" s="20" t="str">
        <f aca="false">IFERROR(INDEX(Clubs!$B$2:$B$20,MATCH(D16,Clubs!$A$2:$A$20,0)),"")</f>
        <v>FUK</v>
      </c>
      <c r="F16" s="19" t="s">
        <v>165</v>
      </c>
      <c r="G16" s="19"/>
      <c r="H16" s="19"/>
      <c r="I16" s="19" t="n">
        <v>34</v>
      </c>
      <c r="J16" s="19"/>
      <c r="K16" s="19" t="s">
        <v>27</v>
      </c>
      <c r="L16" s="21" t="n">
        <f aca="false">COUNTIF('Fight card'!$I$6:$I$200,A16)+COUNTIF('Fight card'!$K$6:$K$200,A16)</f>
        <v>1</v>
      </c>
      <c r="M16" s="19"/>
    </row>
    <row r="17" customFormat="false" ht="15" hidden="false" customHeight="false" outlineLevel="0" collapsed="false">
      <c r="A17" s="20" t="str">
        <f aca="false">TRIM(B17&amp;" "&amp;C17)</f>
        <v>Elie-Rose THOMAS</v>
      </c>
      <c r="B17" s="19" t="s">
        <v>203</v>
      </c>
      <c r="C17" s="19" t="s">
        <v>204</v>
      </c>
      <c r="D17" s="19" t="s">
        <v>188</v>
      </c>
      <c r="E17" s="20" t="str">
        <f aca="false">IFERROR(INDEX(Clubs!$B$2:$B$20,MATCH(D17,Clubs!$A$2:$A$20,0)),"")</f>
        <v>FUK</v>
      </c>
      <c r="F17" s="19" t="s">
        <v>176</v>
      </c>
      <c r="G17" s="19" t="s">
        <v>177</v>
      </c>
      <c r="H17" s="19"/>
      <c r="I17" s="19" t="n">
        <v>34</v>
      </c>
      <c r="J17" s="19"/>
      <c r="K17" s="19" t="s">
        <v>27</v>
      </c>
      <c r="L17" s="21" t="n">
        <f aca="false">COUNTIF('Fight card'!$I$6:$I$200,A17)+COUNTIF('Fight card'!$K$6:$K$200,A17)</f>
        <v>1</v>
      </c>
      <c r="M17" s="19"/>
    </row>
    <row r="18" customFormat="false" ht="15" hidden="false" customHeight="false" outlineLevel="0" collapsed="false">
      <c r="A18" s="20" t="str">
        <f aca="false">TRIM(B18&amp;" "&amp;C18)</f>
        <v>Guillaume PASQUET</v>
      </c>
      <c r="B18" s="19" t="s">
        <v>205</v>
      </c>
      <c r="C18" s="19" t="s">
        <v>206</v>
      </c>
      <c r="D18" s="19" t="s">
        <v>188</v>
      </c>
      <c r="E18" s="20" t="str">
        <f aca="false">IFERROR(INDEX(Clubs!$B$2:$B$20,MATCH(D18,Clubs!$A$2:$A$20,0)),"")</f>
        <v>FUK</v>
      </c>
      <c r="F18" s="19" t="s">
        <v>165</v>
      </c>
      <c r="G18" s="19" t="s">
        <v>181</v>
      </c>
      <c r="H18" s="19"/>
      <c r="I18" s="19" t="n">
        <v>79</v>
      </c>
      <c r="J18" s="19"/>
      <c r="K18" s="19" t="s">
        <v>27</v>
      </c>
      <c r="L18" s="21" t="n">
        <f aca="false">COUNTIF('Fight card'!$I$6:$I$200,A18)+COUNTIF('Fight card'!$K$6:$K$200,A18)</f>
        <v>1</v>
      </c>
      <c r="M18" s="19" t="s">
        <v>201</v>
      </c>
    </row>
    <row r="19" customFormat="false" ht="15" hidden="false" customHeight="false" outlineLevel="0" collapsed="false">
      <c r="A19" s="20" t="str">
        <f aca="false">TRIM(B19&amp;" "&amp;C19)</f>
        <v>Inès ICHARD</v>
      </c>
      <c r="B19" s="19" t="s">
        <v>207</v>
      </c>
      <c r="C19" s="19" t="s">
        <v>208</v>
      </c>
      <c r="D19" s="19" t="s">
        <v>188</v>
      </c>
      <c r="E19" s="20" t="str">
        <f aca="false">IFERROR(INDEX(Clubs!$B$2:$B$20,MATCH(D19,Clubs!$A$2:$A$20,0)),"")</f>
        <v>FUK</v>
      </c>
      <c r="F19" s="19" t="s">
        <v>176</v>
      </c>
      <c r="G19" s="19" t="s">
        <v>177</v>
      </c>
      <c r="H19" s="19"/>
      <c r="I19" s="19" t="n">
        <v>27</v>
      </c>
      <c r="J19" s="19"/>
      <c r="K19" s="19" t="s">
        <v>27</v>
      </c>
      <c r="L19" s="21" t="n">
        <f aca="false">COUNTIF('Fight card'!$I$6:$I$200,A19)+COUNTIF('Fight card'!$K$6:$K$200,A19)</f>
        <v>1</v>
      </c>
      <c r="M19" s="19"/>
    </row>
    <row r="20" customFormat="false" ht="15" hidden="false" customHeight="false" outlineLevel="0" collapsed="false">
      <c r="A20" s="20" t="str">
        <f aca="false">TRIM(B20&amp;" "&amp;C20)</f>
        <v>Kiria BOYER</v>
      </c>
      <c r="B20" s="19" t="s">
        <v>209</v>
      </c>
      <c r="C20" s="19" t="s">
        <v>168</v>
      </c>
      <c r="D20" s="19" t="s">
        <v>188</v>
      </c>
      <c r="E20" s="20" t="str">
        <f aca="false">IFERROR(INDEX(Clubs!$B$2:$B$20,MATCH(D20,Clubs!$A$2:$A$20,0)),"")</f>
        <v>FUK</v>
      </c>
      <c r="F20" s="19" t="s">
        <v>176</v>
      </c>
      <c r="G20" s="19" t="s">
        <v>177</v>
      </c>
      <c r="H20" s="19"/>
      <c r="I20" s="19" t="n">
        <v>23</v>
      </c>
      <c r="J20" s="19"/>
      <c r="K20" s="19" t="s">
        <v>27</v>
      </c>
      <c r="L20" s="21" t="n">
        <f aca="false">COUNTIF('Fight card'!$I$6:$I$200,A20)+COUNTIF('Fight card'!$K$6:$K$200,A20)</f>
        <v>1</v>
      </c>
      <c r="M20" s="19"/>
    </row>
    <row r="21" customFormat="false" ht="15" hidden="false" customHeight="false" outlineLevel="0" collapsed="false">
      <c r="A21" s="20" t="str">
        <f aca="false">TRIM(B21&amp;" "&amp;C21)</f>
        <v>Liam PROST</v>
      </c>
      <c r="B21" s="19" t="s">
        <v>210</v>
      </c>
      <c r="C21" s="19" t="s">
        <v>211</v>
      </c>
      <c r="D21" s="19" t="s">
        <v>188</v>
      </c>
      <c r="E21" s="20" t="str">
        <f aca="false">IFERROR(INDEX(Clubs!$B$2:$B$20,MATCH(D21,Clubs!$A$2:$A$20,0)),"")</f>
        <v>FUK</v>
      </c>
      <c r="F21" s="19" t="s">
        <v>165</v>
      </c>
      <c r="G21" s="19" t="s">
        <v>173</v>
      </c>
      <c r="H21" s="19"/>
      <c r="I21" s="19" t="n">
        <v>38</v>
      </c>
      <c r="J21" s="19"/>
      <c r="K21" s="19" t="s">
        <v>27</v>
      </c>
      <c r="L21" s="21" t="n">
        <f aca="false">COUNTIF('Fight card'!$I$6:$I$200,A21)+COUNTIF('Fight card'!$K$6:$K$200,A21)</f>
        <v>1</v>
      </c>
      <c r="M21" s="19"/>
    </row>
    <row r="22" customFormat="false" ht="15" hidden="false" customHeight="false" outlineLevel="0" collapsed="false">
      <c r="A22" s="20" t="str">
        <f aca="false">TRIM(B22&amp;" "&amp;C22)</f>
        <v>Logan PROST</v>
      </c>
      <c r="B22" s="19" t="s">
        <v>212</v>
      </c>
      <c r="C22" s="19" t="s">
        <v>211</v>
      </c>
      <c r="D22" s="19" t="s">
        <v>188</v>
      </c>
      <c r="E22" s="20" t="str">
        <f aca="false">IFERROR(INDEX(Clubs!$B$2:$B$20,MATCH(D22,Clubs!$A$2:$A$20,0)),"")</f>
        <v>FUK</v>
      </c>
      <c r="F22" s="19" t="s">
        <v>165</v>
      </c>
      <c r="G22" s="19" t="s">
        <v>198</v>
      </c>
      <c r="H22" s="19"/>
      <c r="I22" s="19" t="n">
        <v>23</v>
      </c>
      <c r="J22" s="19"/>
      <c r="K22" s="19" t="s">
        <v>27</v>
      </c>
      <c r="L22" s="21" t="n">
        <f aca="false">COUNTIF('Fight card'!$I$6:$I$200,A22)+COUNTIF('Fight card'!$K$6:$K$200,A22)</f>
        <v>1</v>
      </c>
      <c r="M22" s="19"/>
    </row>
    <row r="23" customFormat="false" ht="15" hidden="false" customHeight="false" outlineLevel="0" collapsed="false">
      <c r="A23" s="20" t="str">
        <f aca="false">TRIM(B23&amp;" "&amp;C23)</f>
        <v>Mahé PASQUET</v>
      </c>
      <c r="B23" s="19" t="s">
        <v>213</v>
      </c>
      <c r="C23" s="19" t="s">
        <v>206</v>
      </c>
      <c r="D23" s="19" t="s">
        <v>188</v>
      </c>
      <c r="E23" s="20" t="str">
        <f aca="false">IFERROR(INDEX(Clubs!$B$2:$B$20,MATCH(D23,Clubs!$A$2:$A$20,0)),"")</f>
        <v>FUK</v>
      </c>
      <c r="F23" s="19" t="s">
        <v>165</v>
      </c>
      <c r="G23" s="19" t="s">
        <v>173</v>
      </c>
      <c r="H23" s="19"/>
      <c r="I23" s="19" t="n">
        <v>35</v>
      </c>
      <c r="J23" s="19"/>
      <c r="K23" s="19" t="s">
        <v>27</v>
      </c>
      <c r="L23" s="21" t="n">
        <f aca="false">COUNTIF('Fight card'!$I$6:$I$200,A23)+COUNTIF('Fight card'!$K$6:$K$200,A23)</f>
        <v>1</v>
      </c>
      <c r="M23" s="19"/>
    </row>
    <row r="24" customFormat="false" ht="15" hidden="false" customHeight="false" outlineLevel="0" collapsed="false">
      <c r="A24" s="20" t="str">
        <f aca="false">TRIM(B24&amp;" "&amp;C24)</f>
        <v>Nathan BABEF</v>
      </c>
      <c r="B24" s="19" t="s">
        <v>214</v>
      </c>
      <c r="C24" s="19" t="s">
        <v>215</v>
      </c>
      <c r="D24" s="19" t="s">
        <v>188</v>
      </c>
      <c r="E24" s="20" t="str">
        <f aca="false">IFERROR(INDEX(Clubs!$B$2:$B$20,MATCH(D24,Clubs!$A$2:$A$20,0)),"")</f>
        <v>FUK</v>
      </c>
      <c r="F24" s="19" t="s">
        <v>165</v>
      </c>
      <c r="G24" s="19" t="s">
        <v>173</v>
      </c>
      <c r="H24" s="19"/>
      <c r="I24" s="19" t="n">
        <v>35</v>
      </c>
      <c r="J24" s="19"/>
      <c r="K24" s="19" t="s">
        <v>27</v>
      </c>
      <c r="L24" s="21" t="n">
        <f aca="false">COUNTIF('Fight card'!$I$6:$I$200,A24)+COUNTIF('Fight card'!$K$6:$K$200,A24)</f>
        <v>1</v>
      </c>
      <c r="M24" s="19"/>
    </row>
    <row r="25" customFormat="false" ht="15" hidden="false" customHeight="false" outlineLevel="0" collapsed="false">
      <c r="A25" s="20" t="str">
        <f aca="false">TRIM(B25&amp;" "&amp;C25)</f>
        <v>Pierre RODRIGUE</v>
      </c>
      <c r="B25" s="19" t="s">
        <v>216</v>
      </c>
      <c r="C25" s="19" t="s">
        <v>217</v>
      </c>
      <c r="D25" s="19" t="s">
        <v>188</v>
      </c>
      <c r="E25" s="20" t="str">
        <f aca="false">IFERROR(INDEX(Clubs!$B$2:$B$20,MATCH(D25,Clubs!$A$2:$A$20,0)),"")</f>
        <v>FUK</v>
      </c>
      <c r="F25" s="19" t="s">
        <v>165</v>
      </c>
      <c r="G25" s="19" t="s">
        <v>195</v>
      </c>
      <c r="H25" s="19"/>
      <c r="I25" s="19" t="n">
        <v>57</v>
      </c>
      <c r="J25" s="19"/>
      <c r="K25" s="19" t="s">
        <v>27</v>
      </c>
      <c r="L25" s="21" t="n">
        <f aca="false">COUNTIF('Fight card'!$I$6:$I$200,A25)+COUNTIF('Fight card'!$K$6:$K$200,A25)</f>
        <v>1</v>
      </c>
      <c r="M25" s="19"/>
    </row>
    <row r="26" customFormat="false" ht="15" hidden="false" customHeight="false" outlineLevel="0" collapsed="false">
      <c r="A26" s="20" t="str">
        <f aca="false">TRIM(B26&amp;" "&amp;C26)</f>
        <v>Salim YOUSSOUF</v>
      </c>
      <c r="B26" s="19" t="s">
        <v>218</v>
      </c>
      <c r="C26" s="19" t="s">
        <v>219</v>
      </c>
      <c r="D26" s="19" t="s">
        <v>188</v>
      </c>
      <c r="E26" s="20" t="str">
        <f aca="false">IFERROR(INDEX(Clubs!$B$2:$B$20,MATCH(D26,Clubs!$A$2:$A$20,0)),"")</f>
        <v>FUK</v>
      </c>
      <c r="F26" s="19" t="s">
        <v>165</v>
      </c>
      <c r="G26" s="19" t="s">
        <v>181</v>
      </c>
      <c r="H26" s="19"/>
      <c r="I26" s="19" t="n">
        <v>106</v>
      </c>
      <c r="J26" s="19"/>
      <c r="K26" s="19" t="s">
        <v>27</v>
      </c>
      <c r="L26" s="21" t="n">
        <f aca="false">COUNTIF('Fight card'!$I$6:$I$200,A26)+COUNTIF('Fight card'!$K$6:$K$200,A26)</f>
        <v>1</v>
      </c>
      <c r="M26" s="19" t="s">
        <v>201</v>
      </c>
    </row>
    <row r="27" customFormat="false" ht="15" hidden="false" customHeight="false" outlineLevel="0" collapsed="false">
      <c r="A27" s="20" t="str">
        <f aca="false">TRIM(B27&amp;" "&amp;C27)</f>
        <v>Sébastien ELIE</v>
      </c>
      <c r="B27" s="19" t="s">
        <v>220</v>
      </c>
      <c r="C27" s="19" t="s">
        <v>221</v>
      </c>
      <c r="D27" s="19" t="s">
        <v>188</v>
      </c>
      <c r="E27" s="20" t="str">
        <f aca="false">IFERROR(INDEX(Clubs!$B$2:$B$20,MATCH(D27,Clubs!$A$2:$A$20,0)),"")</f>
        <v>FUK</v>
      </c>
      <c r="F27" s="19" t="s">
        <v>165</v>
      </c>
      <c r="G27" s="19" t="s">
        <v>181</v>
      </c>
      <c r="H27" s="19"/>
      <c r="I27" s="19" t="n">
        <v>78</v>
      </c>
      <c r="J27" s="19"/>
      <c r="K27" s="19" t="s">
        <v>27</v>
      </c>
      <c r="L27" s="21" t="n">
        <f aca="false">COUNTIF('Fight card'!$I$6:$I$200,A27)+COUNTIF('Fight card'!$K$6:$K$200,A27)</f>
        <v>1</v>
      </c>
      <c r="M27" s="19" t="s">
        <v>201</v>
      </c>
    </row>
    <row r="28" customFormat="false" ht="15" hidden="false" customHeight="false" outlineLevel="0" collapsed="false">
      <c r="A28" s="20" t="str">
        <f aca="false">TRIM(B28&amp;" "&amp;C28)</f>
        <v>Antoine RIVIERE</v>
      </c>
      <c r="B28" s="19" t="s">
        <v>222</v>
      </c>
      <c r="C28" s="19" t="s">
        <v>223</v>
      </c>
      <c r="D28" s="19" t="s">
        <v>224</v>
      </c>
      <c r="E28" s="20" t="str">
        <f aca="false">IFERROR(INDEX(Clubs!$B$2:$B$20,MATCH(D28,Clubs!$A$2:$A$20,0)),"")</f>
        <v>MAN</v>
      </c>
      <c r="F28" s="19" t="s">
        <v>165</v>
      </c>
      <c r="G28" s="19"/>
      <c r="H28" s="19" t="s">
        <v>225</v>
      </c>
      <c r="I28" s="19" t="n">
        <v>35</v>
      </c>
      <c r="J28" s="19"/>
      <c r="K28" s="19" t="s">
        <v>27</v>
      </c>
      <c r="L28" s="21" t="n">
        <f aca="false">COUNTIF('Fight card'!$I$6:$I$200,A28)+COUNTIF('Fight card'!$K$6:$K$200,A28)</f>
        <v>2</v>
      </c>
      <c r="M28" s="19"/>
    </row>
    <row r="29" customFormat="false" ht="15" hidden="false" customHeight="false" outlineLevel="0" collapsed="false">
      <c r="A29" s="20" t="str">
        <f aca="false">TRIM(B29&amp;" "&amp;C29)</f>
        <v>CEDRIC PAYET</v>
      </c>
      <c r="B29" s="19" t="s">
        <v>226</v>
      </c>
      <c r="C29" s="19" t="s">
        <v>172</v>
      </c>
      <c r="D29" s="19" t="s">
        <v>224</v>
      </c>
      <c r="E29" s="20" t="str">
        <f aca="false">IFERROR(INDEX(Clubs!$B$2:$B$20,MATCH(D29,Clubs!$A$2:$A$20,0)),"")</f>
        <v>MAN</v>
      </c>
      <c r="F29" s="19" t="s">
        <v>165</v>
      </c>
      <c r="G29" s="19"/>
      <c r="H29" s="19" t="s">
        <v>227</v>
      </c>
      <c r="I29" s="19"/>
      <c r="J29" s="19"/>
      <c r="K29" s="19" t="s">
        <v>27</v>
      </c>
      <c r="L29" s="21" t="n">
        <f aca="false">COUNTIF('Fight card'!$I$6:$I$200,A29)+COUNTIF('Fight card'!$K$6:$K$200,A29)</f>
        <v>2</v>
      </c>
      <c r="M29" s="19"/>
    </row>
    <row r="30" customFormat="false" ht="15" hidden="false" customHeight="false" outlineLevel="0" collapsed="false">
      <c r="A30" s="20" t="str">
        <f aca="false">TRIM(B30&amp;" "&amp;C30)</f>
        <v>DOMNOE COUILLAUD</v>
      </c>
      <c r="B30" s="19" t="s">
        <v>228</v>
      </c>
      <c r="C30" s="19" t="s">
        <v>229</v>
      </c>
      <c r="D30" s="19" t="s">
        <v>224</v>
      </c>
      <c r="E30" s="20" t="str">
        <f aca="false">IFERROR(INDEX(Clubs!$B$2:$B$20,MATCH(D30,Clubs!$A$2:$A$20,0)),"")</f>
        <v>MAN</v>
      </c>
      <c r="F30" s="19" t="s">
        <v>165</v>
      </c>
      <c r="G30" s="19"/>
      <c r="H30" s="19" t="s">
        <v>230</v>
      </c>
      <c r="I30" s="19" t="n">
        <v>40</v>
      </c>
      <c r="J30" s="19"/>
      <c r="K30" s="19" t="s">
        <v>27</v>
      </c>
      <c r="L30" s="21" t="n">
        <f aca="false">COUNTIF('Fight card'!$I$6:$I$200,A30)+COUNTIF('Fight card'!$K$6:$K$200,A30)</f>
        <v>1</v>
      </c>
      <c r="M30" s="19"/>
    </row>
    <row r="31" customFormat="false" ht="15" hidden="false" customHeight="false" outlineLevel="0" collapsed="false">
      <c r="A31" s="20" t="str">
        <f aca="false">TRIM(B31&amp;" "&amp;C31)</f>
        <v>EVE RIVIERE</v>
      </c>
      <c r="B31" s="19" t="s">
        <v>231</v>
      </c>
      <c r="C31" s="19" t="s">
        <v>223</v>
      </c>
      <c r="D31" s="19" t="s">
        <v>224</v>
      </c>
      <c r="E31" s="20" t="str">
        <f aca="false">IFERROR(INDEX(Clubs!$B$2:$B$20,MATCH(D31,Clubs!$A$2:$A$20,0)),"")</f>
        <v>MAN</v>
      </c>
      <c r="F31" s="19" t="s">
        <v>176</v>
      </c>
      <c r="G31" s="19"/>
      <c r="H31" s="19" t="s">
        <v>232</v>
      </c>
      <c r="I31" s="19" t="n">
        <v>55</v>
      </c>
      <c r="J31" s="19"/>
      <c r="K31" s="19" t="s">
        <v>27</v>
      </c>
      <c r="L31" s="21" t="n">
        <f aca="false">COUNTIF('Fight card'!$I$6:$I$200,A31)+COUNTIF('Fight card'!$K$6:$K$200,A31)</f>
        <v>1</v>
      </c>
      <c r="M31" s="19"/>
    </row>
    <row r="32" customFormat="false" ht="15" hidden="false" customHeight="false" outlineLevel="0" collapsed="false">
      <c r="A32" s="20" t="str">
        <f aca="false">TRIM(B32&amp;" "&amp;C32)</f>
        <v>GILLES IDMOND</v>
      </c>
      <c r="B32" s="19" t="s">
        <v>233</v>
      </c>
      <c r="C32" s="19" t="s">
        <v>234</v>
      </c>
      <c r="D32" s="19" t="s">
        <v>224</v>
      </c>
      <c r="E32" s="20" t="str">
        <f aca="false">IFERROR(INDEX(Clubs!$B$2:$B$20,MATCH(D32,Clubs!$A$2:$A$20,0)),"")</f>
        <v>MAN</v>
      </c>
      <c r="F32" s="19" t="s">
        <v>165</v>
      </c>
      <c r="G32" s="19"/>
      <c r="H32" s="19" t="s">
        <v>235</v>
      </c>
      <c r="I32" s="19" t="n">
        <v>74.9</v>
      </c>
      <c r="J32" s="19"/>
      <c r="K32" s="19" t="s">
        <v>27</v>
      </c>
      <c r="L32" s="21" t="n">
        <f aca="false">COUNTIF('Fight card'!$I$6:$I$200,A32)+COUNTIF('Fight card'!$K$6:$K$200,A32)</f>
        <v>1</v>
      </c>
      <c r="M32" s="19"/>
    </row>
    <row r="33" customFormat="false" ht="15" hidden="false" customHeight="false" outlineLevel="0" collapsed="false">
      <c r="A33" s="20" t="str">
        <f aca="false">TRIM(B33&amp;" "&amp;C33)</f>
        <v>HELENA PAYET</v>
      </c>
      <c r="B33" s="19" t="s">
        <v>236</v>
      </c>
      <c r="C33" s="19" t="s">
        <v>172</v>
      </c>
      <c r="D33" s="19" t="s">
        <v>224</v>
      </c>
      <c r="E33" s="20" t="str">
        <f aca="false">IFERROR(INDEX(Clubs!$B$2:$B$20,MATCH(D33,Clubs!$A$2:$A$20,0)),"")</f>
        <v>MAN</v>
      </c>
      <c r="F33" s="19" t="s">
        <v>176</v>
      </c>
      <c r="G33" s="19"/>
      <c r="H33" s="19"/>
      <c r="I33" s="19" t="n">
        <v>55</v>
      </c>
      <c r="J33" s="19"/>
      <c r="K33" s="19" t="s">
        <v>27</v>
      </c>
      <c r="L33" s="21" t="n">
        <f aca="false">COUNTIF('Fight card'!$I$6:$I$200,A33)+COUNTIF('Fight card'!$K$6:$K$200,A33)</f>
        <v>1</v>
      </c>
      <c r="M33" s="19"/>
    </row>
    <row r="34" customFormat="false" ht="15" hidden="false" customHeight="false" outlineLevel="0" collapsed="false">
      <c r="A34" s="20" t="str">
        <f aca="false">TRIM(B34&amp;" "&amp;C34)</f>
        <v>HUGO GRONDIN</v>
      </c>
      <c r="B34" s="19" t="s">
        <v>237</v>
      </c>
      <c r="C34" s="19" t="s">
        <v>238</v>
      </c>
      <c r="D34" s="19" t="s">
        <v>224</v>
      </c>
      <c r="E34" s="20" t="str">
        <f aca="false">IFERROR(INDEX(Clubs!$B$2:$B$20,MATCH(D34,Clubs!$A$2:$A$20,0)),"")</f>
        <v>MAN</v>
      </c>
      <c r="F34" s="19" t="s">
        <v>165</v>
      </c>
      <c r="G34" s="19"/>
      <c r="H34" s="19" t="s">
        <v>239</v>
      </c>
      <c r="I34" s="19" t="n">
        <v>35</v>
      </c>
      <c r="J34" s="19"/>
      <c r="K34" s="19" t="s">
        <v>27</v>
      </c>
      <c r="L34" s="21" t="n">
        <f aca="false">COUNTIF('Fight card'!$I$6:$I$200,A34)+COUNTIF('Fight card'!$K$6:$K$200,A34)</f>
        <v>1</v>
      </c>
      <c r="M34" s="19"/>
    </row>
    <row r="35" customFormat="false" ht="15" hidden="false" customHeight="false" outlineLevel="0" collapsed="false">
      <c r="A35" s="20" t="str">
        <f aca="false">TRIM(B35&amp;" "&amp;C35)</f>
        <v>Lily BEGUE</v>
      </c>
      <c r="B35" s="19" t="s">
        <v>240</v>
      </c>
      <c r="C35" s="19" t="s">
        <v>241</v>
      </c>
      <c r="D35" s="19" t="s">
        <v>224</v>
      </c>
      <c r="E35" s="20" t="str">
        <f aca="false">IFERROR(INDEX(Clubs!$B$2:$B$20,MATCH(D35,Clubs!$A$2:$A$20,0)),"")</f>
        <v>MAN</v>
      </c>
      <c r="F35" s="19" t="s">
        <v>176</v>
      </c>
      <c r="G35" s="19" t="s">
        <v>173</v>
      </c>
      <c r="H35" s="19"/>
      <c r="I35" s="19" t="n">
        <v>35</v>
      </c>
      <c r="J35" s="19"/>
      <c r="K35" s="19" t="s">
        <v>27</v>
      </c>
      <c r="L35" s="21" t="n">
        <f aca="false">COUNTIF('Fight card'!$I$6:$I$200,A35)+COUNTIF('Fight card'!$K$6:$K$200,A35)</f>
        <v>2</v>
      </c>
      <c r="M35" s="19"/>
    </row>
    <row r="36" customFormat="false" ht="15" hidden="false" customHeight="false" outlineLevel="0" collapsed="false">
      <c r="A36" s="20" t="str">
        <f aca="false">TRIM(B36&amp;" "&amp;C36)</f>
        <v>Lucie PAYET</v>
      </c>
      <c r="B36" s="19" t="s">
        <v>242</v>
      </c>
      <c r="C36" s="19" t="s">
        <v>172</v>
      </c>
      <c r="D36" s="19" t="s">
        <v>224</v>
      </c>
      <c r="E36" s="20" t="str">
        <f aca="false">IFERROR(INDEX(Clubs!$B$2:$B$20,MATCH(D36,Clubs!$A$2:$A$20,0)),"")</f>
        <v>MAN</v>
      </c>
      <c r="F36" s="19" t="s">
        <v>176</v>
      </c>
      <c r="G36" s="19" t="s">
        <v>173</v>
      </c>
      <c r="H36" s="19"/>
      <c r="I36" s="19" t="n">
        <v>30</v>
      </c>
      <c r="J36" s="19"/>
      <c r="K36" s="19" t="s">
        <v>27</v>
      </c>
      <c r="L36" s="21" t="n">
        <f aca="false">COUNTIF('Fight card'!$I$6:$I$200,A36)+COUNTIF('Fight card'!$K$6:$K$200,A36)</f>
        <v>1</v>
      </c>
      <c r="M36" s="19"/>
    </row>
    <row r="37" customFormat="false" ht="15" hidden="false" customHeight="false" outlineLevel="0" collapsed="false">
      <c r="A37" s="20" t="str">
        <f aca="false">TRIM(B37&amp;" "&amp;C37)</f>
        <v>MATHIAS DIJOUX</v>
      </c>
      <c r="B37" s="19" t="s">
        <v>243</v>
      </c>
      <c r="C37" s="19" t="s">
        <v>244</v>
      </c>
      <c r="D37" s="19" t="s">
        <v>224</v>
      </c>
      <c r="E37" s="20" t="str">
        <f aca="false">IFERROR(INDEX(Clubs!$B$2:$B$20,MATCH(D37,Clubs!$A$2:$A$20,0)),"")</f>
        <v>MAN</v>
      </c>
      <c r="F37" s="19" t="s">
        <v>165</v>
      </c>
      <c r="G37" s="19"/>
      <c r="H37" s="19" t="s">
        <v>245</v>
      </c>
      <c r="I37" s="19"/>
      <c r="J37" s="19"/>
      <c r="K37" s="19" t="s">
        <v>99</v>
      </c>
      <c r="L37" s="21" t="n">
        <f aca="false">COUNTIF('Fight card'!$I$6:$I$200,A37)+COUNTIF('Fight card'!$K$6:$K$200,A37)</f>
        <v>1</v>
      </c>
      <c r="M37" s="19"/>
    </row>
    <row r="38" customFormat="false" ht="15" hidden="false" customHeight="false" outlineLevel="0" collapsed="false">
      <c r="A38" s="20" t="str">
        <f aca="false">TRIM(B38&amp;" "&amp;C38)</f>
        <v>Matys LABRUYERE</v>
      </c>
      <c r="B38" s="19" t="s">
        <v>246</v>
      </c>
      <c r="C38" s="19" t="s">
        <v>247</v>
      </c>
      <c r="D38" s="19" t="s">
        <v>224</v>
      </c>
      <c r="E38" s="20" t="str">
        <f aca="false">IFERROR(INDEX(Clubs!$B$2:$B$20,MATCH(D38,Clubs!$A$2:$A$20,0)),"")</f>
        <v>MAN</v>
      </c>
      <c r="F38" s="19" t="s">
        <v>165</v>
      </c>
      <c r="G38" s="19"/>
      <c r="H38" s="19"/>
      <c r="I38" s="19" t="n">
        <v>65</v>
      </c>
      <c r="J38" s="19"/>
      <c r="K38" s="19" t="s">
        <v>27</v>
      </c>
      <c r="L38" s="21" t="n">
        <f aca="false">COUNTIF('Fight card'!$I$6:$I$200,A38)+COUNTIF('Fight card'!$K$6:$K$200,A38)</f>
        <v>1</v>
      </c>
      <c r="M38" s="19" t="s">
        <v>248</v>
      </c>
    </row>
    <row r="39" customFormat="false" ht="15" hidden="false" customHeight="false" outlineLevel="0" collapsed="false">
      <c r="A39" s="20" t="str">
        <f aca="false">TRIM(B39&amp;" "&amp;C39)</f>
        <v>NATHAN RIVIERE</v>
      </c>
      <c r="B39" s="19" t="s">
        <v>249</v>
      </c>
      <c r="C39" s="19" t="s">
        <v>223</v>
      </c>
      <c r="D39" s="19" t="s">
        <v>224</v>
      </c>
      <c r="E39" s="20" t="str">
        <f aca="false">IFERROR(INDEX(Clubs!$B$2:$B$20,MATCH(D39,Clubs!$A$2:$A$20,0)),"")</f>
        <v>MAN</v>
      </c>
      <c r="F39" s="19" t="s">
        <v>165</v>
      </c>
      <c r="G39" s="19"/>
      <c r="H39" s="19" t="s">
        <v>250</v>
      </c>
      <c r="I39" s="19" t="n">
        <v>55</v>
      </c>
      <c r="J39" s="19"/>
      <c r="K39" s="19" t="s">
        <v>27</v>
      </c>
      <c r="L39" s="21" t="n">
        <f aca="false">COUNTIF('Fight card'!$I$6:$I$200,A39)+COUNTIF('Fight card'!$K$6:$K$200,A39)</f>
        <v>1</v>
      </c>
      <c r="M39" s="19"/>
    </row>
    <row r="40" customFormat="false" ht="15" hidden="false" customHeight="false" outlineLevel="0" collapsed="false">
      <c r="A40" s="20" t="str">
        <f aca="false">TRIM(B40&amp;" "&amp;C40)</f>
        <v>ROBIN TURPIN</v>
      </c>
      <c r="B40" s="19" t="s">
        <v>251</v>
      </c>
      <c r="C40" s="19" t="s">
        <v>252</v>
      </c>
      <c r="D40" s="19" t="s">
        <v>224</v>
      </c>
      <c r="E40" s="20" t="str">
        <f aca="false">IFERROR(INDEX(Clubs!$B$2:$B$20,MATCH(D40,Clubs!$A$2:$A$20,0)),"")</f>
        <v>MAN</v>
      </c>
      <c r="F40" s="19" t="s">
        <v>165</v>
      </c>
      <c r="G40" s="19"/>
      <c r="H40" s="19" t="s">
        <v>253</v>
      </c>
      <c r="I40" s="19" t="n">
        <v>60</v>
      </c>
      <c r="J40" s="19"/>
      <c r="K40" s="19" t="s">
        <v>27</v>
      </c>
      <c r="L40" s="21" t="n">
        <f aca="false">COUNTIF('Fight card'!$I$6:$I$200,A40)+COUNTIF('Fight card'!$K$6:$K$200,A40)</f>
        <v>1</v>
      </c>
      <c r="M40" s="19"/>
    </row>
    <row r="41" customFormat="false" ht="15" hidden="false" customHeight="false" outlineLevel="0" collapsed="false">
      <c r="A41" s="20" t="str">
        <f aca="false">TRIM(B41&amp;" "&amp;C41)</f>
        <v>THEO FONTAINE</v>
      </c>
      <c r="B41" s="19" t="s">
        <v>254</v>
      </c>
      <c r="C41" s="19" t="s">
        <v>255</v>
      </c>
      <c r="D41" s="19" t="s">
        <v>224</v>
      </c>
      <c r="E41" s="20" t="str">
        <f aca="false">IFERROR(INDEX(Clubs!$B$2:$B$20,MATCH(D41,Clubs!$A$2:$A$20,0)),"")</f>
        <v>MAN</v>
      </c>
      <c r="F41" s="19" t="s">
        <v>165</v>
      </c>
      <c r="G41" s="19"/>
      <c r="H41" s="19" t="s">
        <v>256</v>
      </c>
      <c r="I41" s="19"/>
      <c r="J41" s="19"/>
      <c r="K41" s="19" t="s">
        <v>257</v>
      </c>
      <c r="L41" s="21" t="n">
        <f aca="false">COUNTIF('Fight card'!$I$6:$I$200,A41)+COUNTIF('Fight card'!$K$6:$K$200,A41)</f>
        <v>2</v>
      </c>
      <c r="M41" s="19"/>
    </row>
    <row r="42" customFormat="false" ht="15" hidden="false" customHeight="false" outlineLevel="0" collapsed="false">
      <c r="A42" s="20" t="str">
        <f aca="false">TRIM(B42&amp;" "&amp;C42)</f>
        <v>YVAN BOYER</v>
      </c>
      <c r="B42" s="19" t="s">
        <v>258</v>
      </c>
      <c r="C42" s="19" t="s">
        <v>168</v>
      </c>
      <c r="D42" s="19" t="s">
        <v>224</v>
      </c>
      <c r="E42" s="20" t="str">
        <f aca="false">IFERROR(INDEX(Clubs!$B$2:$B$20,MATCH(D42,Clubs!$A$2:$A$20,0)),"")</f>
        <v>MAN</v>
      </c>
      <c r="F42" s="19" t="s">
        <v>165</v>
      </c>
      <c r="G42" s="19"/>
      <c r="H42" s="19"/>
      <c r="I42" s="19" t="n">
        <v>40</v>
      </c>
      <c r="J42" s="19"/>
      <c r="K42" s="19" t="s">
        <v>27</v>
      </c>
      <c r="L42" s="21" t="n">
        <f aca="false">COUNTIF('Fight card'!$I$6:$I$200,A42)+COUNTIF('Fight card'!$K$6:$K$200,A42)</f>
        <v>1</v>
      </c>
      <c r="M42" s="19"/>
    </row>
    <row r="43" customFormat="false" ht="15" hidden="false" customHeight="false" outlineLevel="0" collapsed="false">
      <c r="A43" s="20" t="str">
        <f aca="false">TRIM(B43&amp;" "&amp;C43)</f>
        <v>Ambre BEAUVOIR</v>
      </c>
      <c r="B43" s="19" t="s">
        <v>259</v>
      </c>
      <c r="C43" s="19" t="s">
        <v>260</v>
      </c>
      <c r="D43" s="19" t="s">
        <v>261</v>
      </c>
      <c r="E43" s="20" t="str">
        <f aca="false">IFERROR(INDEX(Clubs!$B$2:$B$20,MATCH(D43,Clubs!$A$2:$A$20,0)),"")</f>
        <v>SHO</v>
      </c>
      <c r="F43" s="19" t="s">
        <v>176</v>
      </c>
      <c r="G43" s="19" t="s">
        <v>181</v>
      </c>
      <c r="H43" s="19"/>
      <c r="I43" s="19" t="n">
        <v>59</v>
      </c>
      <c r="J43" s="19"/>
      <c r="K43" s="19" t="s">
        <v>27</v>
      </c>
      <c r="L43" s="21" t="n">
        <f aca="false">COUNTIF('Fight card'!$I$6:$I$200,A43)+COUNTIF('Fight card'!$K$6:$K$200,A43)</f>
        <v>1</v>
      </c>
      <c r="M43" s="19"/>
    </row>
    <row r="44" customFormat="false" ht="15" hidden="false" customHeight="false" outlineLevel="0" collapsed="false">
      <c r="A44" s="20" t="str">
        <f aca="false">TRIM(B44&amp;" "&amp;C44)</f>
        <v>Chloé FONTAINE</v>
      </c>
      <c r="B44" s="19" t="s">
        <v>262</v>
      </c>
      <c r="C44" s="19" t="s">
        <v>255</v>
      </c>
      <c r="D44" s="19" t="s">
        <v>261</v>
      </c>
      <c r="E44" s="20" t="str">
        <f aca="false">IFERROR(INDEX(Clubs!$B$2:$B$20,MATCH(D44,Clubs!$A$2:$A$20,0)),"")</f>
        <v>SHO</v>
      </c>
      <c r="F44" s="19" t="s">
        <v>176</v>
      </c>
      <c r="G44" s="19"/>
      <c r="H44" s="19"/>
      <c r="I44" s="19" t="n">
        <v>50</v>
      </c>
      <c r="J44" s="19"/>
      <c r="K44" s="19" t="s">
        <v>45</v>
      </c>
      <c r="L44" s="21" t="n">
        <f aca="false">COUNTIF('Fight card'!$I$6:$I$200,A44)+COUNTIF('Fight card'!$K$6:$K$200,A44)</f>
        <v>1</v>
      </c>
      <c r="M44" s="19" t="s">
        <v>263</v>
      </c>
    </row>
    <row r="45" customFormat="false" ht="15" hidden="false" customHeight="false" outlineLevel="0" collapsed="false">
      <c r="A45" s="20" t="str">
        <f aca="false">TRIM(B45&amp;" "&amp;C45)</f>
        <v>Emmanuelle GRUCHET</v>
      </c>
      <c r="B45" s="19" t="s">
        <v>264</v>
      </c>
      <c r="C45" s="19" t="s">
        <v>265</v>
      </c>
      <c r="D45" s="19" t="s">
        <v>261</v>
      </c>
      <c r="E45" s="20" t="str">
        <f aca="false">IFERROR(INDEX(Clubs!$B$2:$B$20,MATCH(D45,Clubs!$A$2:$A$20,0)),"")</f>
        <v>SHO</v>
      </c>
      <c r="F45" s="19" t="s">
        <v>176</v>
      </c>
      <c r="G45" s="19" t="s">
        <v>181</v>
      </c>
      <c r="H45" s="19"/>
      <c r="I45" s="19" t="n">
        <v>55</v>
      </c>
      <c r="J45" s="19"/>
      <c r="K45" s="19" t="s">
        <v>27</v>
      </c>
      <c r="L45" s="21" t="n">
        <f aca="false">COUNTIF('Fight card'!$I$6:$I$200,A45)+COUNTIF('Fight card'!$K$6:$K$200,A45)</f>
        <v>1</v>
      </c>
      <c r="M45" s="19"/>
    </row>
    <row r="46" customFormat="false" ht="15" hidden="false" customHeight="false" outlineLevel="0" collapsed="false">
      <c r="A46" s="20" t="str">
        <f aca="false">TRIM(B46&amp;" "&amp;C46)</f>
        <v>Ethan BEGUE</v>
      </c>
      <c r="B46" s="19" t="s">
        <v>163</v>
      </c>
      <c r="C46" s="19" t="s">
        <v>241</v>
      </c>
      <c r="D46" s="19" t="s">
        <v>261</v>
      </c>
      <c r="E46" s="20" t="str">
        <f aca="false">IFERROR(INDEX(Clubs!$B$2:$B$20,MATCH(D46,Clubs!$A$2:$A$20,0)),"")</f>
        <v>SHO</v>
      </c>
      <c r="F46" s="19" t="s">
        <v>165</v>
      </c>
      <c r="G46" s="19" t="s">
        <v>173</v>
      </c>
      <c r="H46" s="19" t="s">
        <v>266</v>
      </c>
      <c r="I46" s="19" t="n">
        <v>78</v>
      </c>
      <c r="J46" s="19"/>
      <c r="K46" s="19" t="s">
        <v>27</v>
      </c>
      <c r="L46" s="21" t="n">
        <f aca="false">COUNTIF('Fight card'!$I$6:$I$200,A46)+COUNTIF('Fight card'!$K$6:$K$200,A46)</f>
        <v>0</v>
      </c>
      <c r="M46" s="19"/>
    </row>
    <row r="47" customFormat="false" ht="15" hidden="false" customHeight="false" outlineLevel="0" collapsed="false">
      <c r="A47" s="20" t="str">
        <f aca="false">TRIM(B47&amp;" "&amp;C47)</f>
        <v>Jean-Marc SERGE</v>
      </c>
      <c r="B47" s="19" t="s">
        <v>267</v>
      </c>
      <c r="C47" s="19" t="s">
        <v>268</v>
      </c>
      <c r="D47" s="19" t="s">
        <v>261</v>
      </c>
      <c r="E47" s="20" t="str">
        <f aca="false">IFERROR(INDEX(Clubs!$B$2:$B$20,MATCH(D47,Clubs!$A$2:$A$20,0)),"")</f>
        <v>SHO</v>
      </c>
      <c r="F47" s="19" t="s">
        <v>165</v>
      </c>
      <c r="G47" s="19" t="s">
        <v>181</v>
      </c>
      <c r="H47" s="19"/>
      <c r="I47" s="19" t="n">
        <v>65</v>
      </c>
      <c r="J47" s="19"/>
      <c r="K47" s="19" t="s">
        <v>99</v>
      </c>
      <c r="L47" s="21" t="n">
        <f aca="false">COUNTIF('Fight card'!$I$6:$I$200,A47)+COUNTIF('Fight card'!$K$6:$K$200,A47)</f>
        <v>1</v>
      </c>
      <c r="M47" s="19"/>
    </row>
    <row r="48" customFormat="false" ht="15" hidden="false" customHeight="false" outlineLevel="0" collapsed="false">
      <c r="A48" s="20" t="str">
        <f aca="false">TRIM(B48&amp;" "&amp;C48)</f>
        <v>Lanah BARDINOT</v>
      </c>
      <c r="B48" s="19" t="s">
        <v>269</v>
      </c>
      <c r="C48" s="19" t="s">
        <v>270</v>
      </c>
      <c r="D48" s="19" t="s">
        <v>261</v>
      </c>
      <c r="E48" s="20" t="str">
        <f aca="false">IFERROR(INDEX(Clubs!$B$2:$B$20,MATCH(D48,Clubs!$A$2:$A$20,0)),"")</f>
        <v>SHO</v>
      </c>
      <c r="F48" s="19" t="s">
        <v>176</v>
      </c>
      <c r="G48" s="19" t="s">
        <v>166</v>
      </c>
      <c r="H48" s="19"/>
      <c r="I48" s="19" t="n">
        <v>64</v>
      </c>
      <c r="J48" s="19"/>
      <c r="K48" s="19" t="s">
        <v>27</v>
      </c>
      <c r="L48" s="21" t="n">
        <f aca="false">COUNTIF('Fight card'!$I$6:$I$200,A48)+COUNTIF('Fight card'!$K$6:$K$200,A48)</f>
        <v>1</v>
      </c>
      <c r="M48" s="19"/>
    </row>
    <row r="49" customFormat="false" ht="15" hidden="false" customHeight="false" outlineLevel="0" collapsed="false">
      <c r="A49" s="20" t="str">
        <f aca="false">TRIM(B49&amp;" "&amp;C49)</f>
        <v>Mathéo GABRIEL</v>
      </c>
      <c r="B49" s="19" t="s">
        <v>271</v>
      </c>
      <c r="C49" s="19" t="s">
        <v>272</v>
      </c>
      <c r="D49" s="19" t="s">
        <v>261</v>
      </c>
      <c r="E49" s="20" t="str">
        <f aca="false">IFERROR(INDEX(Clubs!$B$2:$B$20,MATCH(D49,Clubs!$A$2:$A$20,0)),"")</f>
        <v>SHO</v>
      </c>
      <c r="F49" s="19" t="s">
        <v>165</v>
      </c>
      <c r="G49" s="19" t="s">
        <v>181</v>
      </c>
      <c r="H49" s="19"/>
      <c r="I49" s="19"/>
      <c r="J49" s="19"/>
      <c r="K49" s="19" t="s">
        <v>99</v>
      </c>
      <c r="L49" s="21" t="n">
        <f aca="false">COUNTIF('Fight card'!$I$6:$I$200,A49)+COUNTIF('Fight card'!$K$6:$K$200,A49)</f>
        <v>1</v>
      </c>
      <c r="M49" s="19"/>
    </row>
    <row r="50" customFormat="false" ht="15" hidden="false" customHeight="false" outlineLevel="0" collapsed="false">
      <c r="A50" s="20" t="str">
        <f aca="false">TRIM(B50&amp;" "&amp;C50)</f>
        <v>Miguel IBAO</v>
      </c>
      <c r="B50" s="19" t="s">
        <v>273</v>
      </c>
      <c r="C50" s="19" t="s">
        <v>274</v>
      </c>
      <c r="D50" s="19" t="s">
        <v>261</v>
      </c>
      <c r="E50" s="20" t="str">
        <f aca="false">IFERROR(INDEX(Clubs!$B$2:$B$20,MATCH(D50,Clubs!$A$2:$A$20,0)),"")</f>
        <v>SHO</v>
      </c>
      <c r="F50" s="19" t="s">
        <v>165</v>
      </c>
      <c r="G50" s="19" t="s">
        <v>181</v>
      </c>
      <c r="H50" s="19"/>
      <c r="I50" s="19" t="n">
        <v>74</v>
      </c>
      <c r="J50" s="19"/>
      <c r="K50" s="19" t="s">
        <v>99</v>
      </c>
      <c r="L50" s="21" t="n">
        <f aca="false">COUNTIF('Fight card'!$I$6:$I$200,A50)+COUNTIF('Fight card'!$K$6:$K$200,A50)</f>
        <v>1</v>
      </c>
      <c r="M50" s="19"/>
    </row>
    <row r="51" customFormat="false" ht="15" hidden="false" customHeight="false" outlineLevel="0" collapsed="false">
      <c r="A51" s="20" t="str">
        <f aca="false">TRIM(B51&amp;" "&amp;C51)</f>
        <v>Thomas GUICHARD</v>
      </c>
      <c r="B51" s="19" t="s">
        <v>275</v>
      </c>
      <c r="C51" s="19" t="s">
        <v>276</v>
      </c>
      <c r="D51" s="19" t="s">
        <v>261</v>
      </c>
      <c r="E51" s="20" t="str">
        <f aca="false">IFERROR(INDEX(Clubs!$B$2:$B$20,MATCH(D51,Clubs!$A$2:$A$20,0)),"")</f>
        <v>SHO</v>
      </c>
      <c r="F51" s="19" t="s">
        <v>165</v>
      </c>
      <c r="G51" s="19" t="s">
        <v>181</v>
      </c>
      <c r="H51" s="19" t="s">
        <v>277</v>
      </c>
      <c r="I51" s="19" t="n">
        <v>84</v>
      </c>
      <c r="J51" s="19"/>
      <c r="K51" s="19" t="s">
        <v>27</v>
      </c>
      <c r="L51" s="21" t="n">
        <f aca="false">COUNTIF('Fight card'!$I$6:$I$200,A51)+COUNTIF('Fight card'!$K$6:$K$200,A51)</f>
        <v>2</v>
      </c>
      <c r="M51" s="19"/>
    </row>
  </sheetData>
  <autoFilter ref="A1:M51"/>
  <conditionalFormatting sqref="L2:L51">
    <cfRule type="expression" priority="2" aboveAverage="0" equalAverage="0" bottom="0" percent="0" rank="0" text="" dxfId="15">
      <formula>L2=0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</cols>
  <sheetData>
    <row r="1" customFormat="false" ht="15" hidden="false" customHeight="false" outlineLevel="0" collapsed="false">
      <c r="A1" s="18" t="s">
        <v>15</v>
      </c>
      <c r="B1" s="18" t="s">
        <v>155</v>
      </c>
    </row>
    <row r="2" customFormat="false" ht="15" hidden="false" customHeight="false" outlineLevel="0" collapsed="false">
      <c r="A2" s="19" t="s">
        <v>188</v>
      </c>
      <c r="B2" s="19" t="s">
        <v>278</v>
      </c>
    </row>
    <row r="3" customFormat="false" ht="15" hidden="false" customHeight="false" outlineLevel="0" collapsed="false">
      <c r="A3" s="19" t="s">
        <v>224</v>
      </c>
      <c r="B3" s="19" t="s">
        <v>279</v>
      </c>
    </row>
    <row r="4" customFormat="false" ht="15" hidden="false" customHeight="false" outlineLevel="0" collapsed="false">
      <c r="A4" s="19" t="s">
        <v>261</v>
      </c>
      <c r="B4" s="19" t="s">
        <v>280</v>
      </c>
    </row>
    <row r="5" customFormat="false" ht="15" hidden="false" customHeight="false" outlineLevel="0" collapsed="false">
      <c r="A5" s="19" t="s">
        <v>135</v>
      </c>
      <c r="B5" s="19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2026-10-20T12:39:11Z</dcterms:created>
  <dc:creator>openpyxl</dc:creator>
  <dc:description/>
  <dc:language>en-US</dc:language>
  <cp:lastModifiedBy/>
  <dcterms:modified xsi:type="dcterms:W3CDTF">2026-10-20T12:39:11Z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