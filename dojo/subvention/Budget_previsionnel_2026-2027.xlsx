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 prévisionnel" sheetId="1" state="visible" r:id="rId3"/>
    <sheet name="Hypothè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<sst xmlns="http://schemas.openxmlformats.org/spreadsheetml/2006/main" count="108" uniqueCount="98">
  <si>
    <t xml:space="preserve">FIGHTER ACADEMY KARATE – SHIDOKAN RÉUNION</t>
  </si>
  <si>
    <t xml:space="preserve">Budget prévisionnel – Saison 2026-2027 (format Cerfa n°12156)</t>
  </si>
  <si>
    <t xml:space="preserve">Demande de subvention de fonctionnement à la Ville du Tampon</t>
  </si>
  <si>
    <t xml:space="preserve">Compte</t>
  </si>
  <si>
    <t xml:space="preserve">Libellé</t>
  </si>
  <si>
    <t xml:space="preserve">Scénario 5 000 €</t>
  </si>
  <si>
    <t xml:space="preserve">Scénario 10 000 €</t>
  </si>
  <si>
    <t xml:space="preserve">CHARGES</t>
  </si>
  <si>
    <t xml:space="preserve">60 – Achats</t>
  </si>
  <si>
    <t xml:space="preserve">6064</t>
  </si>
  <si>
    <t xml:space="preserve">Matériel pédagogique et protections de prêt (casques, plastrons, gants, protège-tibias)</t>
  </si>
  <si>
    <t xml:space="preserve">6063</t>
  </si>
  <si>
    <t xml:space="preserve">Tatamis complémentaires (sécurisation des aires de combat)</t>
  </si>
  <si>
    <t xml:space="preserve">6068</t>
  </si>
  <si>
    <t xml:space="preserve">Médailles, diplômes et coupes – Shidokan Challenge 974</t>
  </si>
  <si>
    <t xml:space="preserve">Matériel section féminine et self-défense</t>
  </si>
  <si>
    <t xml:space="preserve">Matériel courant et pharmacie</t>
  </si>
  <si>
    <t xml:space="preserve">607</t>
  </si>
  <si>
    <t xml:space="preserve">Achats buvette (revendus)</t>
  </si>
  <si>
    <t xml:space="preserve">61 – Services extérieurs</t>
  </si>
  <si>
    <t xml:space="preserve">616</t>
  </si>
  <si>
    <t xml:space="preserve">Assurance de l'association</t>
  </si>
  <si>
    <t xml:space="preserve">613</t>
  </si>
  <si>
    <t xml:space="preserve">Location de salle (mise à disposition gratuite par la Ville – valorisée en 86)</t>
  </si>
  <si>
    <t xml:space="preserve">62 – Autres services extérieurs</t>
  </si>
  <si>
    <t xml:space="preserve">6228</t>
  </si>
  <si>
    <t xml:space="preserve">Formation des encadrants et arbitres (diplômes fédéraux, arbitrage, PSC1)</t>
  </si>
  <si>
    <t xml:space="preserve">623</t>
  </si>
  <si>
    <t xml:space="preserve">Communication, impression, sonorisation – Shidokan Challenge 974</t>
  </si>
  <si>
    <t xml:space="preserve">625</t>
  </si>
  <si>
    <t xml:space="preserve">Déplacements en compétition</t>
  </si>
  <si>
    <t xml:space="preserve">Défraiements des encadrants</t>
  </si>
  <si>
    <t xml:space="preserve">626</t>
  </si>
  <si>
    <t xml:space="preserve">Frais bancaires, téléphone, site internet</t>
  </si>
  <si>
    <t xml:space="preserve">65 – Autres charges de gestion courante</t>
  </si>
  <si>
    <t xml:space="preserve">6511</t>
  </si>
  <si>
    <t xml:space="preserve">Licences fédérales</t>
  </si>
  <si>
    <t xml:space="preserve">Affiliation Shidokan (par adhérent)</t>
  </si>
  <si>
    <t xml:space="preserve">6588</t>
  </si>
  <si>
    <t xml:space="preserve">Licences solidaires et stages gratuits pendant les vacances scolaires</t>
  </si>
  <si>
    <t xml:space="preserve">TOTAL DES CHARGES</t>
  </si>
  <si>
    <t xml:space="preserve">PRODUITS</t>
  </si>
  <si>
    <t xml:space="preserve">70 – Ventes de produits et prestations</t>
  </si>
  <si>
    <t xml:space="preserve">707</t>
  </si>
  <si>
    <t xml:space="preserve">Recettes buvette (Shidokan Challenge 974)</t>
  </si>
  <si>
    <t xml:space="preserve">74 – Subventions d'exploitation</t>
  </si>
  <si>
    <t xml:space="preserve">74</t>
  </si>
  <si>
    <t xml:space="preserve">Ville du Tampon (subvention sollicitée)</t>
  </si>
  <si>
    <t xml:space="preserve">Département de La Réunion (à solliciter)</t>
  </si>
  <si>
    <t xml:space="preserve">Région Réunion (à solliciter)</t>
  </si>
  <si>
    <t xml:space="preserve">Agence nationale du Sport – PSF via la Ligue (à solliciter)</t>
  </si>
  <si>
    <t xml:space="preserve">75 – Autres produits de gestion courante</t>
  </si>
  <si>
    <t xml:space="preserve">756</t>
  </si>
  <si>
    <t xml:space="preserve">Cotisations des adhérents (licences incluses)</t>
  </si>
  <si>
    <t xml:space="preserve">7541</t>
  </si>
  <si>
    <t xml:space="preserve">Sponsors et mécénat (L'Assiette Fleurie, DTTP Réunion…)</t>
  </si>
  <si>
    <t xml:space="preserve">Fonds propres mobilisés (+) / excédent prévisionnel (−) – équilibre</t>
  </si>
  <si>
    <t xml:space="preserve">TOTAL DES PRODUITS</t>
  </si>
  <si>
    <t xml:space="preserve">CONTRIBUTIONS VOLONTAIRES EN NATURE</t>
  </si>
  <si>
    <t xml:space="preserve">86 – Emplois des contributions volontaires</t>
  </si>
  <si>
    <t xml:space="preserve">862</t>
  </si>
  <si>
    <t xml:space="preserve">Mise à disposition gratuite de la salle par la Ville</t>
  </si>
  <si>
    <t xml:space="preserve">864</t>
  </si>
  <si>
    <t xml:space="preserve">Personnel bénévole (encadrement, arbitrage, événements)</t>
  </si>
  <si>
    <t xml:space="preserve">Total 86</t>
  </si>
  <si>
    <t xml:space="preserve">87 – Contributions volontaires en nature</t>
  </si>
  <si>
    <t xml:space="preserve">871</t>
  </si>
  <si>
    <t xml:space="preserve">Prestations en nature (salle municipale)</t>
  </si>
  <si>
    <t xml:space="preserve">875</t>
  </si>
  <si>
    <t xml:space="preserve">Bénévolat</t>
  </si>
  <si>
    <t xml:space="preserve">Total 87</t>
  </si>
  <si>
    <t xml:space="preserve">Contrôle : produits − charges (doit être 0)</t>
  </si>
  <si>
    <t xml:space="preserve">Part de la subvention Ville dans les produits</t>
  </si>
  <si>
    <t xml:space="preserve">En rouge : lignes du projet financé par la subvention (5 000 € / 10 000 €).</t>
  </si>
  <si>
    <t xml:space="preserve">Fonds propres négatifs = excédent : ajuster les hypothèses ou le montant demandé avant dépôt.</t>
  </si>
  <si>
    <t xml:space="preserve">HYPOTHÈSES – à remplacer par les vrais chiffres du club (cellules jaunes)</t>
  </si>
  <si>
    <t xml:space="preserve">Les montants ci-dessous sont des EXEMPLES. Modifiez-les : le budget prévisionnel se recalcule automatiquement.</t>
  </si>
  <si>
    <t xml:space="preserve">Adhérents</t>
  </si>
  <si>
    <t xml:space="preserve">Nombre d'adhérents babies</t>
  </si>
  <si>
    <t xml:space="preserve">Cotisation annuelle baby</t>
  </si>
  <si>
    <t xml:space="preserve">Nombre d'adhérents enfants</t>
  </si>
  <si>
    <t xml:space="preserve">Cotisation annuelle enfant</t>
  </si>
  <si>
    <t xml:space="preserve">Nombre d'adhérents ados / adultes / vétérans</t>
  </si>
  <si>
    <t xml:space="preserve">Cotisation annuelle ado / adulte</t>
  </si>
  <si>
    <t xml:space="preserve">Fonctionnement courant</t>
  </si>
  <si>
    <t xml:space="preserve">Prix de la licence fédérale par adhérent</t>
  </si>
  <si>
    <t xml:space="preserve">Affiliation Shidokan par adhérent</t>
  </si>
  <si>
    <t xml:space="preserve">Déplacements en compétition (transport, engagements)</t>
  </si>
  <si>
    <t xml:space="preserve">Défraiements des encadrants (kilomètres, frais)</t>
  </si>
  <si>
    <t xml:space="preserve">Événement et partenaires</t>
  </si>
  <si>
    <t xml:space="preserve">Recettes buvette (Shidokan Challenge)</t>
  </si>
  <si>
    <t xml:space="preserve">Achats buvette</t>
  </si>
  <si>
    <t xml:space="preserve">Sponsors / mécénat (L'Assiette Fleurie, DTTP Réunion…)</t>
  </si>
  <si>
    <t xml:space="preserve">Contributions en nature (valorisation)</t>
  </si>
  <si>
    <t xml:space="preserve">Heures d'utilisation de la salle municipale par an</t>
  </si>
  <si>
    <t xml:space="preserve">Valeur horaire de la mise à disposition de la salle</t>
  </si>
  <si>
    <t xml:space="preserve">Heures de bénévolat par an (encadrement + événements)</t>
  </si>
  <si>
    <t xml:space="preserve">Valeur horaire du bénévolat (base SMIC – à vérifier)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</si>
</sst>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[RED]\-#,##0&quot; €&quot;"/>
    <numFmt numFmtId="166" formatCode="0%"/>
    <numFmt numFmtId="167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C62828"/>
      <name val="Cambria"/>
      <family val="0"/>
      <charset val="1"/>
    </font>
    <font>
      <b val="true"/>
      <sz val="11"/>
      <color rgb="FF1F2A44"/>
      <name val="Cambria"/>
      <family val="0"/>
      <charset val="1"/>
    </font>
    <font>
      <sz val="11"/>
      <color rgb="FFC6282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2E7D32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1F2A44"/>
      <name val="Cambria"/>
      <family val="0"/>
      <charset val="1"/>
    </font>
    <font>
      <i val="true"/>
      <sz val="11"/>
      <color rgb="FFC62828"/>
      <name val="Cambria"/>
      <family val="0"/>
      <charset val="1"/>
    </font>
    <font>
      <b val="true"/>
      <sz val="13"/>
      <color rgb="FF1F2A44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EAF1"/>
        <bgColor rgb="FFFFFFFF"/>
      </patternFill>
    </fill>
    <fill>
      <patternFill patternType="solid">
        <fgColor rgb="FFF3C448"/>
        <bgColor rgb="FFFFCC99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CD8"/>
      </left>
      <right style="thin">
        <color rgb="FFC8CCD8"/>
      </right>
      <top style="thin">
        <color rgb="FFC8CCD8"/>
      </top>
      <bottom style="thin">
        <color rgb="FFC8CC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CD8"/>
      <rgbColor rgb="FF808080"/>
      <rgbColor rgb="FF9999FF"/>
      <rgbColor rgb="FF993366"/>
      <rgbColor rgb="FFFFF4C2"/>
      <rgbColor rgb="FFE8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3C448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C62828"/>
      <rgbColor rgb="FF993366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8"/>
    <col collapsed="false" customWidth="true" hidden="false" outlineLevel="0" max="4" min="3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</row>
    <row r="7" customFormat="false" ht="15" hidden="false" customHeight="false" outlineLevel="0" collapsed="false">
      <c r="A7" s="6" t="s">
        <v>8</v>
      </c>
      <c r="B7" s="7"/>
      <c r="C7" s="7"/>
      <c r="D7" s="7"/>
    </row>
    <row r="8" customFormat="false" ht="15" hidden="false" customHeight="false" outlineLevel="0" collapsed="false">
      <c r="A8" s="8" t="s">
        <v>9</v>
      </c>
      <c r="B8" s="9" t="s">
        <v>10</v>
      </c>
      <c r="C8" s="10" t="n">
        <v>1500</v>
      </c>
      <c r="D8" s="10" t="n">
        <v>2000</v>
      </c>
    </row>
    <row r="9" customFormat="false" ht="15" hidden="false" customHeight="false" outlineLevel="0" collapsed="false">
      <c r="A9" s="8" t="s">
        <v>11</v>
      </c>
      <c r="B9" s="9" t="s">
        <v>12</v>
      </c>
      <c r="C9" s="10" t="n">
        <v>1000</v>
      </c>
      <c r="D9" s="10" t="n">
        <v>2500</v>
      </c>
    </row>
    <row r="10" customFormat="false" ht="15" hidden="false" customHeight="false" outlineLevel="0" collapsed="false">
      <c r="A10" s="8" t="s">
        <v>13</v>
      </c>
      <c r="B10" s="9" t="s">
        <v>14</v>
      </c>
      <c r="C10" s="10" t="n">
        <v>600</v>
      </c>
      <c r="D10" s="10" t="n">
        <v>1100</v>
      </c>
    </row>
    <row r="11" customFormat="false" ht="15" hidden="false" customHeight="false" outlineLevel="0" collapsed="false">
      <c r="A11" s="8" t="s">
        <v>11</v>
      </c>
      <c r="B11" s="9" t="s">
        <v>15</v>
      </c>
      <c r="C11" s="10" t="n">
        <v>0</v>
      </c>
      <c r="D11" s="10" t="n">
        <v>1000</v>
      </c>
    </row>
    <row r="12" customFormat="false" ht="15" hidden="false" customHeight="false" outlineLevel="0" collapsed="false">
      <c r="A12" s="8" t="s">
        <v>13</v>
      </c>
      <c r="B12" s="8" t="s">
        <v>16</v>
      </c>
      <c r="C12" s="10" t="n">
        <f aca="false">Hypothèses!$B$16</f>
        <v>1200</v>
      </c>
      <c r="D12" s="10" t="n">
        <f aca="false">Hypothèses!$B$16</f>
        <v>1200</v>
      </c>
    </row>
    <row r="13" customFormat="false" ht="15" hidden="false" customHeight="false" outlineLevel="0" collapsed="false">
      <c r="A13" s="8" t="s">
        <v>17</v>
      </c>
      <c r="B13" s="8" t="s">
        <v>18</v>
      </c>
      <c r="C13" s="10" t="n">
        <f aca="false">Hypothèses!$B$21</f>
        <v>300</v>
      </c>
      <c r="D13" s="10" t="n">
        <f aca="false">Hypothèses!$B$21</f>
        <v>300</v>
      </c>
    </row>
    <row r="14" customFormat="false" ht="15" hidden="false" customHeight="false" outlineLevel="0" collapsed="false">
      <c r="A14" s="6" t="s">
        <v>19</v>
      </c>
      <c r="B14" s="7"/>
      <c r="C14" s="7"/>
      <c r="D14" s="7"/>
    </row>
    <row r="15" customFormat="false" ht="15" hidden="false" customHeight="false" outlineLevel="0" collapsed="false">
      <c r="A15" s="8" t="s">
        <v>20</v>
      </c>
      <c r="B15" s="8" t="s">
        <v>21</v>
      </c>
      <c r="C15" s="10" t="n">
        <f aca="false">Hypothèses!$B$14</f>
        <v>400</v>
      </c>
      <c r="D15" s="10" t="n">
        <f aca="false">Hypothèses!$B$14</f>
        <v>400</v>
      </c>
    </row>
    <row r="16" customFormat="false" ht="15" hidden="false" customHeight="false" outlineLevel="0" collapsed="false">
      <c r="A16" s="8" t="s">
        <v>22</v>
      </c>
      <c r="B16" s="8" t="s">
        <v>23</v>
      </c>
      <c r="C16" s="10" t="n">
        <v>0</v>
      </c>
      <c r="D16" s="10" t="n">
        <v>0</v>
      </c>
    </row>
    <row r="17" customFormat="false" ht="15" hidden="false" customHeight="false" outlineLevel="0" collapsed="false">
      <c r="A17" s="6" t="s">
        <v>24</v>
      </c>
      <c r="B17" s="7"/>
      <c r="C17" s="7"/>
      <c r="D17" s="7"/>
    </row>
    <row r="18" customFormat="false" ht="15" hidden="false" customHeight="false" outlineLevel="0" collapsed="false">
      <c r="A18" s="8" t="s">
        <v>25</v>
      </c>
      <c r="B18" s="9" t="s">
        <v>26</v>
      </c>
      <c r="C18" s="10" t="n">
        <v>1000</v>
      </c>
      <c r="D18" s="10" t="n">
        <v>1500</v>
      </c>
    </row>
    <row r="19" customFormat="false" ht="15" hidden="false" customHeight="false" outlineLevel="0" collapsed="false">
      <c r="A19" s="8" t="s">
        <v>27</v>
      </c>
      <c r="B19" s="9" t="s">
        <v>28</v>
      </c>
      <c r="C19" s="10" t="n">
        <v>400</v>
      </c>
      <c r="D19" s="10" t="n">
        <v>900</v>
      </c>
    </row>
    <row r="20" customFormat="false" ht="15" hidden="false" customHeight="false" outlineLevel="0" collapsed="false">
      <c r="A20" s="8" t="s">
        <v>29</v>
      </c>
      <c r="B20" s="8" t="s">
        <v>30</v>
      </c>
      <c r="C20" s="10" t="n">
        <f aca="false">Hypothèses!$B$15</f>
        <v>0</v>
      </c>
      <c r="D20" s="10" t="n">
        <f aca="false">Hypothèses!$B$15</f>
        <v>0</v>
      </c>
    </row>
    <row r="21" customFormat="false" ht="15" hidden="false" customHeight="false" outlineLevel="0" collapsed="false">
      <c r="A21" s="8" t="s">
        <v>29</v>
      </c>
      <c r="B21" s="8" t="s">
        <v>31</v>
      </c>
      <c r="C21" s="10" t="n">
        <f aca="false">Hypothèses!$B$17</f>
        <v>0</v>
      </c>
      <c r="D21" s="10" t="n">
        <f aca="false">Hypothèses!$B$17</f>
        <v>0</v>
      </c>
    </row>
    <row r="22" customFormat="false" ht="15" hidden="false" customHeight="false" outlineLevel="0" collapsed="false">
      <c r="A22" s="8" t="s">
        <v>32</v>
      </c>
      <c r="B22" s="8" t="s">
        <v>33</v>
      </c>
      <c r="C22" s="10" t="n">
        <f aca="false">Hypothèses!$B$18</f>
        <v>300</v>
      </c>
      <c r="D22" s="10" t="n">
        <f aca="false">Hypothèses!$B$18</f>
        <v>300</v>
      </c>
    </row>
    <row r="23" customFormat="false" ht="15" hidden="false" customHeight="false" outlineLevel="0" collapsed="false">
      <c r="A23" s="6" t="s">
        <v>34</v>
      </c>
      <c r="B23" s="7"/>
      <c r="C23" s="7"/>
      <c r="D23" s="7"/>
    </row>
    <row r="24" customFormat="false" ht="15" hidden="false" customHeight="false" outlineLevel="0" collapsed="false">
      <c r="A24" s="8" t="s">
        <v>35</v>
      </c>
      <c r="B24" s="8" t="s">
        <v>36</v>
      </c>
      <c r="C24" s="10" t="n">
        <f aca="false">(Hypothèses!$B$5+Hypothèses!$B$7+Hypothèses!$B$9)*Hypothèses!$B$12</f>
        <v>2457</v>
      </c>
      <c r="D24" s="10" t="n">
        <f aca="false">(Hypothèses!$B$5+Hypothèses!$B$7+Hypothèses!$B$9)*Hypothèses!$B$12</f>
        <v>2457</v>
      </c>
    </row>
    <row r="25" customFormat="false" ht="15" hidden="false" customHeight="false" outlineLevel="0" collapsed="false">
      <c r="A25" s="8" t="s">
        <v>35</v>
      </c>
      <c r="B25" s="8" t="s">
        <v>37</v>
      </c>
      <c r="C25" s="10" t="n">
        <f aca="false">(Hypothèses!$B$5+Hypothèses!$B$7+Hypothèses!$B$9)*Hypothèses!$B$13</f>
        <v>1323</v>
      </c>
      <c r="D25" s="10" t="n">
        <f aca="false">(Hypothèses!$B$5+Hypothèses!$B$7+Hypothèses!$B$9)*Hypothèses!$B$13</f>
        <v>1323</v>
      </c>
    </row>
    <row r="26" customFormat="false" ht="15" hidden="false" customHeight="false" outlineLevel="0" collapsed="false">
      <c r="A26" s="8" t="s">
        <v>38</v>
      </c>
      <c r="B26" s="9" t="s">
        <v>39</v>
      </c>
      <c r="C26" s="10" t="n">
        <v>500</v>
      </c>
      <c r="D26" s="10" t="n">
        <v>1000</v>
      </c>
    </row>
    <row r="27" customFormat="false" ht="15" hidden="false" customHeight="false" outlineLevel="0" collapsed="false">
      <c r="A27" s="11"/>
      <c r="B27" s="12" t="s">
        <v>40</v>
      </c>
      <c r="C27" s="13" t="n">
        <f aca="false">SUM(C7:C26)</f>
        <v>10980</v>
      </c>
      <c r="D27" s="13" t="n">
        <f aca="false">SUM(D7:D26)</f>
        <v>15980</v>
      </c>
    </row>
    <row r="29" customFormat="false" ht="15" hidden="false" customHeight="false" outlineLevel="0" collapsed="false">
      <c r="A29" s="14" t="s">
        <v>41</v>
      </c>
    </row>
    <row r="30" customFormat="false" ht="15" hidden="false" customHeight="false" outlineLevel="0" collapsed="false">
      <c r="A30" s="6" t="s">
        <v>42</v>
      </c>
      <c r="B30" s="7"/>
      <c r="C30" s="7"/>
      <c r="D30" s="7"/>
    </row>
    <row r="31" customFormat="false" ht="15" hidden="false" customHeight="false" outlineLevel="0" collapsed="false">
      <c r="A31" s="8" t="s">
        <v>43</v>
      </c>
      <c r="B31" s="8" t="s">
        <v>44</v>
      </c>
      <c r="C31" s="10" t="n">
        <f aca="false">Hypothèses!$B$20</f>
        <v>900</v>
      </c>
      <c r="D31" s="10" t="n">
        <f aca="false">Hypothèses!$B$20</f>
        <v>900</v>
      </c>
    </row>
    <row r="32" customFormat="false" ht="15" hidden="false" customHeight="false" outlineLevel="0" collapsed="false">
      <c r="A32" s="6" t="s">
        <v>45</v>
      </c>
      <c r="B32" s="7"/>
      <c r="C32" s="7"/>
      <c r="D32" s="7"/>
    </row>
    <row r="33" customFormat="false" ht="15" hidden="false" customHeight="false" outlineLevel="0" collapsed="false">
      <c r="A33" s="8" t="s">
        <v>46</v>
      </c>
      <c r="B33" s="9" t="s">
        <v>47</v>
      </c>
      <c r="C33" s="10" t="n">
        <v>5000</v>
      </c>
      <c r="D33" s="10" t="n">
        <v>10000</v>
      </c>
    </row>
    <row r="34" customFormat="false" ht="15" hidden="false" customHeight="false" outlineLevel="0" collapsed="false">
      <c r="A34" s="8" t="s">
        <v>46</v>
      </c>
      <c r="B34" s="8" t="s">
        <v>48</v>
      </c>
      <c r="C34" s="10" t="n">
        <v>0</v>
      </c>
      <c r="D34" s="10" t="n">
        <v>0</v>
      </c>
    </row>
    <row r="35" customFormat="false" ht="15" hidden="false" customHeight="false" outlineLevel="0" collapsed="false">
      <c r="A35" s="8" t="s">
        <v>46</v>
      </c>
      <c r="B35" s="8" t="s">
        <v>49</v>
      </c>
      <c r="C35" s="10" t="n">
        <v>0</v>
      </c>
      <c r="D35" s="10" t="n">
        <v>0</v>
      </c>
    </row>
    <row r="36" customFormat="false" ht="15" hidden="false" customHeight="false" outlineLevel="0" collapsed="false">
      <c r="A36" s="8" t="s">
        <v>46</v>
      </c>
      <c r="B36" s="8" t="s">
        <v>50</v>
      </c>
      <c r="C36" s="10" t="n">
        <v>0</v>
      </c>
      <c r="D36" s="10" t="n">
        <v>0</v>
      </c>
    </row>
    <row r="37" customFormat="false" ht="15" hidden="false" customHeight="false" outlineLevel="0" collapsed="false">
      <c r="A37" s="6" t="s">
        <v>51</v>
      </c>
      <c r="B37" s="7"/>
      <c r="C37" s="7"/>
      <c r="D37" s="7"/>
    </row>
    <row r="38" customFormat="false" ht="15" hidden="false" customHeight="false" outlineLevel="0" collapsed="false">
      <c r="A38" s="8" t="s">
        <v>52</v>
      </c>
      <c r="B38" s="8" t="s">
        <v>53</v>
      </c>
      <c r="C38" s="10" t="n">
        <f aca="false">Hypothèses!$B$5*Hypothèses!$B$6+Hypothèses!$B$7*Hypothèses!$B$8+Hypothèses!$B$9*Hypothèses!$B$10</f>
        <v>17957</v>
      </c>
      <c r="D38" s="10" t="n">
        <f aca="false">Hypothèses!$B$5*Hypothèses!$B$6+Hypothèses!$B$7*Hypothèses!$B$8+Hypothèses!$B$9*Hypothèses!$B$10</f>
        <v>17957</v>
      </c>
    </row>
    <row r="39" customFormat="false" ht="15" hidden="false" customHeight="false" outlineLevel="0" collapsed="false">
      <c r="A39" s="8" t="s">
        <v>54</v>
      </c>
      <c r="B39" s="8" t="s">
        <v>55</v>
      </c>
      <c r="C39" s="10" t="n">
        <f aca="false">Hypothèses!$B$22</f>
        <v>500</v>
      </c>
      <c r="D39" s="10" t="n">
        <f aca="false">Hypothèses!$B$22</f>
        <v>500</v>
      </c>
    </row>
    <row r="40" customFormat="false" ht="15" hidden="false" customHeight="false" outlineLevel="0" collapsed="false">
      <c r="A40" s="8"/>
      <c r="B40" s="8" t="s">
        <v>56</v>
      </c>
      <c r="C40" s="15" t="n">
        <f aca="false">C27-SUM(C30:C39)</f>
        <v>-13377</v>
      </c>
      <c r="D40" s="15" t="n">
        <f aca="false">D27-SUM(D30:D39)</f>
        <v>-13377</v>
      </c>
    </row>
    <row r="41" customFormat="false" ht="15" hidden="false" customHeight="false" outlineLevel="0" collapsed="false">
      <c r="A41" s="11"/>
      <c r="B41" s="12" t="s">
        <v>57</v>
      </c>
      <c r="C41" s="13" t="n">
        <f aca="false">SUM(C30:C40)</f>
        <v>10980</v>
      </c>
      <c r="D41" s="13" t="n">
        <f aca="false">SUM(D30:D40)</f>
        <v>15980</v>
      </c>
    </row>
    <row r="43" customFormat="false" ht="15" hidden="false" customHeight="false" outlineLevel="0" collapsed="false">
      <c r="A43" s="16" t="s">
        <v>58</v>
      </c>
    </row>
    <row r="44" customFormat="false" ht="15" hidden="false" customHeight="false" outlineLevel="0" collapsed="false">
      <c r="A44" s="6" t="s">
        <v>59</v>
      </c>
      <c r="B44" s="7"/>
      <c r="C44" s="7"/>
      <c r="D44" s="7"/>
    </row>
    <row r="45" customFormat="false" ht="15" hidden="false" customHeight="false" outlineLevel="0" collapsed="false">
      <c r="A45" s="8" t="s">
        <v>60</v>
      </c>
      <c r="B45" s="8" t="s">
        <v>61</v>
      </c>
      <c r="C45" s="10" t="n">
        <f aca="false">Hypothèses!$B$24*Hypothèses!$B$25</f>
        <v>4320</v>
      </c>
      <c r="D45" s="10" t="n">
        <f aca="false">Hypothèses!$B$24*Hypothèses!$B$25</f>
        <v>4320</v>
      </c>
    </row>
    <row r="46" customFormat="false" ht="15" hidden="false" customHeight="false" outlineLevel="0" collapsed="false">
      <c r="A46" s="8" t="s">
        <v>62</v>
      </c>
      <c r="B46" s="8" t="s">
        <v>63</v>
      </c>
      <c r="C46" s="10" t="n">
        <f aca="false">Hypothèses!$B$26*Hypothèses!$B$27</f>
        <v>7800</v>
      </c>
      <c r="D46" s="10" t="n">
        <f aca="false">Hypothèses!$B$26*Hypothèses!$B$27</f>
        <v>7800</v>
      </c>
    </row>
    <row r="47" customFormat="false" ht="15" hidden="false" customHeight="false" outlineLevel="0" collapsed="false">
      <c r="A47" s="7"/>
      <c r="B47" s="17" t="s">
        <v>64</v>
      </c>
      <c r="C47" s="18" t="n">
        <f aca="false">SUM(C45:C46)</f>
        <v>12120</v>
      </c>
      <c r="D47" s="18" t="n">
        <f aca="false">SUM(D45:D46)</f>
        <v>12120</v>
      </c>
    </row>
    <row r="48" customFormat="false" ht="15" hidden="false" customHeight="false" outlineLevel="0" collapsed="false">
      <c r="A48" s="6" t="s">
        <v>65</v>
      </c>
      <c r="B48" s="7"/>
      <c r="C48" s="7"/>
      <c r="D48" s="7"/>
    </row>
    <row r="49" customFormat="false" ht="15" hidden="false" customHeight="false" outlineLevel="0" collapsed="false">
      <c r="A49" s="8" t="s">
        <v>66</v>
      </c>
      <c r="B49" s="8" t="s">
        <v>67</v>
      </c>
      <c r="C49" s="10" t="n">
        <f aca="false">Hypothèses!$B$24*Hypothèses!$B$25</f>
        <v>4320</v>
      </c>
      <c r="D49" s="10" t="n">
        <f aca="false">Hypothèses!$B$24*Hypothèses!$B$25</f>
        <v>4320</v>
      </c>
    </row>
    <row r="50" customFormat="false" ht="15" hidden="false" customHeight="false" outlineLevel="0" collapsed="false">
      <c r="A50" s="8" t="s">
        <v>68</v>
      </c>
      <c r="B50" s="8" t="s">
        <v>69</v>
      </c>
      <c r="C50" s="10" t="n">
        <f aca="false">Hypothèses!$B$26*Hypothèses!$B$27</f>
        <v>7800</v>
      </c>
      <c r="D50" s="10" t="n">
        <f aca="false">Hypothèses!$B$26*Hypothèses!$B$27</f>
        <v>7800</v>
      </c>
    </row>
    <row r="51" customFormat="false" ht="15" hidden="false" customHeight="false" outlineLevel="0" collapsed="false">
      <c r="A51" s="7"/>
      <c r="B51" s="17" t="s">
        <v>70</v>
      </c>
      <c r="C51" s="18" t="n">
        <f aca="false">SUM(C49:C50)</f>
        <v>12120</v>
      </c>
      <c r="D51" s="18" t="n">
        <f aca="false">SUM(D49:D50)</f>
        <v>12120</v>
      </c>
    </row>
    <row r="53" customFormat="false" ht="15" hidden="false" customHeight="false" outlineLevel="0" collapsed="false">
      <c r="B53" s="19" t="s">
        <v>71</v>
      </c>
      <c r="C53" s="20" t="n">
        <f aca="false">C41-C27</f>
        <v>0</v>
      </c>
      <c r="D53" s="20" t="n">
        <f aca="false">D41-D27</f>
        <v>0</v>
      </c>
    </row>
    <row r="54" customFormat="false" ht="15" hidden="false" customHeight="false" outlineLevel="0" collapsed="false">
      <c r="B54" s="19" t="s">
        <v>72</v>
      </c>
      <c r="C54" s="21" t="n">
        <f aca="false">C33/C41</f>
        <v>0.455373406193078</v>
      </c>
      <c r="D54" s="21" t="n">
        <f aca="false">D33/D41</f>
        <v>0.625782227784731</v>
      </c>
    </row>
    <row r="56" customFormat="false" ht="15" hidden="false" customHeight="false" outlineLevel="0" collapsed="false">
      <c r="B56" s="22" t="s">
        <v>73</v>
      </c>
    </row>
    <row r="57" customFormat="false" ht="15" hidden="false" customHeight="false" outlineLevel="0" collapsed="false">
      <c r="B57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23" t="s">
        <v>75</v>
      </c>
    </row>
    <row r="2" customFormat="false" ht="15" hidden="false" customHeight="false" outlineLevel="0" collapsed="false">
      <c r="A2" s="24" t="s">
        <v>76</v>
      </c>
    </row>
    <row r="4" customFormat="false" ht="15" hidden="false" customHeight="false" outlineLevel="0" collapsed="false">
      <c r="A4" s="25" t="s">
        <v>77</v>
      </c>
      <c r="B4" s="26"/>
    </row>
    <row r="5" customFormat="false" ht="15" hidden="false" customHeight="false" outlineLevel="0" collapsed="false">
      <c r="A5" s="8" t="s">
        <v>78</v>
      </c>
      <c r="B5" s="27" t="n">
        <v>10</v>
      </c>
    </row>
    <row r="6" customFormat="false" ht="15" hidden="false" customHeight="false" outlineLevel="0" collapsed="false">
      <c r="A6" s="8" t="s">
        <v>79</v>
      </c>
      <c r="B6" s="28" t="n">
        <v>239</v>
      </c>
    </row>
    <row r="7" customFormat="false" ht="15" hidden="false" customHeight="false" outlineLevel="0" collapsed="false">
      <c r="A7" s="8" t="s">
        <v>80</v>
      </c>
      <c r="B7" s="27" t="n">
        <v>30</v>
      </c>
    </row>
    <row r="8" customFormat="false" ht="15" hidden="false" customHeight="false" outlineLevel="0" collapsed="false">
      <c r="A8" s="8" t="s">
        <v>81</v>
      </c>
      <c r="B8" s="28" t="n">
        <v>259</v>
      </c>
    </row>
    <row r="9" customFormat="false" ht="15" hidden="false" customHeight="false" outlineLevel="0" collapsed="false">
      <c r="A9" s="8" t="s">
        <v>82</v>
      </c>
      <c r="B9" s="27" t="n">
        <v>23</v>
      </c>
    </row>
    <row r="10" customFormat="false" ht="15" hidden="false" customHeight="false" outlineLevel="0" collapsed="false">
      <c r="A10" s="8" t="s">
        <v>83</v>
      </c>
      <c r="B10" s="28" t="n">
        <v>339</v>
      </c>
    </row>
    <row r="11" customFormat="false" ht="15" hidden="false" customHeight="false" outlineLevel="0" collapsed="false">
      <c r="A11" s="25" t="s">
        <v>84</v>
      </c>
      <c r="B11" s="26"/>
    </row>
    <row r="12" customFormat="false" ht="15" hidden="false" customHeight="false" outlineLevel="0" collapsed="false">
      <c r="A12" s="8" t="s">
        <v>85</v>
      </c>
      <c r="B12" s="28" t="n">
        <v>39</v>
      </c>
    </row>
    <row r="13" customFormat="false" ht="15" hidden="false" customHeight="false" outlineLevel="0" collapsed="false">
      <c r="A13" s="8" t="s">
        <v>86</v>
      </c>
      <c r="B13" s="28" t="n">
        <v>21</v>
      </c>
    </row>
    <row r="14" customFormat="false" ht="15" hidden="false" customHeight="false" outlineLevel="0" collapsed="false">
      <c r="A14" s="8" t="s">
        <v>21</v>
      </c>
      <c r="B14" s="28" t="n">
        <v>400</v>
      </c>
    </row>
    <row r="15" customFormat="false" ht="15" hidden="false" customHeight="false" outlineLevel="0" collapsed="false">
      <c r="A15" s="8" t="s">
        <v>87</v>
      </c>
      <c r="B15" s="28" t="n">
        <v>0</v>
      </c>
    </row>
    <row r="16" customFormat="false" ht="15" hidden="false" customHeight="false" outlineLevel="0" collapsed="false">
      <c r="A16" s="8" t="s">
        <v>16</v>
      </c>
      <c r="B16" s="28" t="n">
        <v>1200</v>
      </c>
    </row>
    <row r="17" customFormat="false" ht="15" hidden="false" customHeight="false" outlineLevel="0" collapsed="false">
      <c r="A17" s="8" t="s">
        <v>88</v>
      </c>
      <c r="B17" s="28" t="n">
        <v>0</v>
      </c>
    </row>
    <row r="18" customFormat="false" ht="15" hidden="false" customHeight="false" outlineLevel="0" collapsed="false">
      <c r="A18" s="8" t="s">
        <v>33</v>
      </c>
      <c r="B18" s="28" t="n">
        <v>300</v>
      </c>
    </row>
    <row r="19" customFormat="false" ht="15" hidden="false" customHeight="false" outlineLevel="0" collapsed="false">
      <c r="A19" s="25" t="s">
        <v>89</v>
      </c>
      <c r="B19" s="26"/>
    </row>
    <row r="20" customFormat="false" ht="15" hidden="false" customHeight="false" outlineLevel="0" collapsed="false">
      <c r="A20" s="8" t="s">
        <v>90</v>
      </c>
      <c r="B20" s="28" t="n">
        <v>900</v>
      </c>
    </row>
    <row r="21" customFormat="false" ht="15" hidden="false" customHeight="false" outlineLevel="0" collapsed="false">
      <c r="A21" s="8" t="s">
        <v>91</v>
      </c>
      <c r="B21" s="28" t="n">
        <v>300</v>
      </c>
    </row>
    <row r="22" customFormat="false" ht="15" hidden="false" customHeight="false" outlineLevel="0" collapsed="false">
      <c r="A22" s="8" t="s">
        <v>92</v>
      </c>
      <c r="B22" s="28" t="n">
        <v>500</v>
      </c>
    </row>
    <row r="23" customFormat="false" ht="15" hidden="false" customHeight="false" outlineLevel="0" collapsed="false">
      <c r="A23" s="25" t="s">
        <v>93</v>
      </c>
      <c r="B23" s="26"/>
    </row>
    <row r="24" customFormat="false" ht="15" hidden="false" customHeight="false" outlineLevel="0" collapsed="false">
      <c r="A24" s="8" t="s">
        <v>94</v>
      </c>
      <c r="B24" s="27" t="n">
        <v>216</v>
      </c>
    </row>
    <row r="25" customFormat="false" ht="15" hidden="false" customHeight="false" outlineLevel="0" collapsed="false">
      <c r="A25" s="8" t="s">
        <v>95</v>
      </c>
      <c r="B25" s="28" t="n">
        <v>20</v>
      </c>
    </row>
    <row r="26" customFormat="false" ht="15" hidden="false" customHeight="false" outlineLevel="0" collapsed="false">
      <c r="A26" s="8" t="s">
        <v>96</v>
      </c>
      <c r="B26" s="27" t="n">
        <v>650</v>
      </c>
    </row>
    <row r="27" customFormat="false" ht="15" hidden="false" customHeight="false" outlineLevel="0" collapsed="false">
      <c r="A27" s="8" t="s">
        <v>97</v>
      </c>
      <c r="B27" s="28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2026-10-31T19:05:05Z</dcterms:created>
  <dc:creator>openpyxl</dc:creator>
  <dc:description/>
  <dc:language>en-US</dc:language>
  <cp:lastModifiedBy/>
  <dcterms:modified xsi:type="dcterms:W3CDTF">2026-10-31T19:05:05Z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